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arcos/Developer/roadlabs/hidros-backend/mock_empreiteira/"/>
    </mc:Choice>
  </mc:AlternateContent>
  <xr:revisionPtr revIDLastSave="0" documentId="13_ncr:1_{F7E33CE1-D9EC-6849-8657-4F4064B66989}" xr6:coauthVersionLast="45" xr6:coauthVersionMax="45" xr10:uidLastSave="{00000000-0000-0000-0000-000000000000}"/>
  <bookViews>
    <workbookView xWindow="0" yWindow="460" windowWidth="34140" windowHeight="28340" xr2:uid="{00000000-000D-0000-FFFF-FFFF00000000}"/>
  </bookViews>
  <sheets>
    <sheet name="Links" sheetId="1" r:id="rId1"/>
    <sheet name="Alteração Ind Reaj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8" i="2" l="1"/>
  <c r="D138" i="2" s="1"/>
  <c r="C137" i="2"/>
  <c r="D137" i="2" s="1"/>
  <c r="C136" i="2"/>
  <c r="D136" i="2" s="1"/>
  <c r="C135" i="2"/>
  <c r="D135" i="2" s="1"/>
  <c r="C134" i="2"/>
  <c r="D134" i="2" s="1"/>
  <c r="C133" i="2"/>
  <c r="D133" i="2" s="1"/>
  <c r="C132" i="2"/>
  <c r="D132" i="2" s="1"/>
  <c r="C131" i="2"/>
  <c r="D131" i="2" s="1"/>
  <c r="C130" i="2"/>
  <c r="D130" i="2" s="1"/>
  <c r="C129" i="2"/>
  <c r="D129" i="2" s="1"/>
  <c r="C128" i="2"/>
  <c r="D128" i="2" s="1"/>
  <c r="C127" i="2"/>
  <c r="D127" i="2" s="1"/>
  <c r="E126" i="2"/>
  <c r="C126" i="2"/>
  <c r="D126" i="2" s="1"/>
  <c r="C125" i="2"/>
  <c r="D125" i="2" s="1"/>
  <c r="C124" i="2"/>
  <c r="D124" i="2" s="1"/>
  <c r="C123" i="2"/>
  <c r="D123" i="2" s="1"/>
  <c r="E122" i="2"/>
  <c r="C122" i="2"/>
  <c r="D122" i="2" s="1"/>
  <c r="C121" i="2"/>
  <c r="D121" i="2" s="1"/>
  <c r="E120" i="2"/>
  <c r="C120" i="2"/>
  <c r="D120" i="2" s="1"/>
  <c r="C119" i="2"/>
  <c r="D119" i="2" s="1"/>
  <c r="C118" i="2"/>
  <c r="D118" i="2" s="1"/>
  <c r="C117" i="2"/>
  <c r="D117" i="2" s="1"/>
  <c r="C116" i="2"/>
  <c r="D116" i="2" s="1"/>
  <c r="C115" i="2"/>
  <c r="D115" i="2" s="1"/>
  <c r="C114" i="2"/>
  <c r="D114" i="2" s="1"/>
  <c r="C113" i="2"/>
  <c r="D113" i="2" s="1"/>
  <c r="C112" i="2"/>
  <c r="D112" i="2" s="1"/>
  <c r="C111" i="2"/>
  <c r="D111" i="2" s="1"/>
  <c r="C110" i="2"/>
  <c r="D110" i="2" s="1"/>
  <c r="C109" i="2"/>
  <c r="D109" i="2" s="1"/>
  <c r="C108" i="2"/>
  <c r="D108" i="2" s="1"/>
  <c r="C107" i="2"/>
  <c r="D107" i="2" s="1"/>
  <c r="C106" i="2"/>
  <c r="D106" i="2" s="1"/>
  <c r="C105" i="2"/>
  <c r="D105" i="2" s="1"/>
  <c r="C104" i="2"/>
  <c r="D104" i="2" s="1"/>
  <c r="E103" i="2"/>
  <c r="C103" i="2"/>
  <c r="D103" i="2" s="1"/>
  <c r="C102" i="2"/>
  <c r="D102" i="2" s="1"/>
  <c r="C101" i="2"/>
  <c r="D101" i="2" s="1"/>
  <c r="C100" i="2"/>
  <c r="D100" i="2" s="1"/>
  <c r="E99" i="2"/>
  <c r="C99" i="2"/>
  <c r="D99" i="2" s="1"/>
  <c r="C98" i="2"/>
  <c r="D98" i="2" s="1"/>
  <c r="C97" i="2"/>
  <c r="D97" i="2" s="1"/>
  <c r="C96" i="2"/>
  <c r="D96" i="2" s="1"/>
  <c r="C95" i="2"/>
  <c r="D95" i="2" s="1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D86" i="2" s="1"/>
  <c r="C85" i="2"/>
  <c r="D85" i="2" s="1"/>
  <c r="E84" i="2"/>
  <c r="C84" i="2"/>
  <c r="D84" i="2" s="1"/>
  <c r="C83" i="2"/>
  <c r="D83" i="2" s="1"/>
  <c r="E82" i="2"/>
  <c r="C82" i="2"/>
  <c r="D82" i="2" s="1"/>
  <c r="E81" i="2"/>
  <c r="C81" i="2"/>
  <c r="D81" i="2" s="1"/>
  <c r="C80" i="2"/>
  <c r="D80" i="2" s="1"/>
  <c r="C79" i="2"/>
  <c r="D79" i="2" s="1"/>
  <c r="C78" i="2"/>
  <c r="D78" i="2" s="1"/>
  <c r="C77" i="2"/>
  <c r="D77" i="2" s="1"/>
  <c r="E76" i="2"/>
  <c r="C76" i="2"/>
  <c r="D76" i="2" s="1"/>
  <c r="C75" i="2"/>
  <c r="D75" i="2" s="1"/>
  <c r="E74" i="2"/>
  <c r="C74" i="2"/>
  <c r="D74" i="2" s="1"/>
  <c r="E73" i="2"/>
  <c r="C73" i="2"/>
  <c r="D73" i="2" s="1"/>
  <c r="C72" i="2"/>
  <c r="D72" i="2" s="1"/>
  <c r="C71" i="2"/>
  <c r="D71" i="2" s="1"/>
  <c r="E70" i="2"/>
  <c r="C70" i="2"/>
  <c r="D70" i="2" s="1"/>
  <c r="E69" i="2"/>
  <c r="C69" i="2"/>
  <c r="D69" i="2" s="1"/>
  <c r="C68" i="2"/>
  <c r="D68" i="2" s="1"/>
  <c r="C67" i="2"/>
  <c r="D67" i="2" s="1"/>
  <c r="E66" i="2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E44" i="2"/>
  <c r="C44" i="2"/>
  <c r="D44" i="2" s="1"/>
  <c r="C43" i="2"/>
  <c r="D43" i="2" s="1"/>
  <c r="E42" i="2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E33" i="2"/>
  <c r="C33" i="2"/>
  <c r="D33" i="2" s="1"/>
  <c r="C32" i="2"/>
  <c r="D32" i="2" s="1"/>
  <c r="E31" i="2"/>
  <c r="C31" i="2"/>
  <c r="D31" i="2" s="1"/>
  <c r="E30" i="2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E15" i="2"/>
  <c r="C15" i="2"/>
  <c r="D15" i="2" s="1"/>
  <c r="C14" i="2"/>
  <c r="D14" i="2" s="1"/>
  <c r="C13" i="2"/>
  <c r="D13" i="2" s="1"/>
  <c r="E12" i="2"/>
  <c r="C12" i="2"/>
  <c r="D12" i="2" s="1"/>
  <c r="C11" i="2"/>
  <c r="D11" i="2" s="1"/>
  <c r="E10" i="2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</calcChain>
</file>

<file path=xl/sharedStrings.xml><?xml version="1.0" encoding="utf-8"?>
<sst xmlns="http://schemas.openxmlformats.org/spreadsheetml/2006/main" count="212" uniqueCount="152">
  <si>
    <t>group</t>
  </si>
  <si>
    <t>kind</t>
  </si>
  <si>
    <t>name</t>
  </si>
  <si>
    <t>code</t>
  </si>
  <si>
    <t>unit</t>
  </si>
  <si>
    <t>unit_price</t>
  </si>
  <si>
    <t>current_balance</t>
  </si>
  <si>
    <t>adjustment_coefficient</t>
  </si>
  <si>
    <t>Type 1</t>
  </si>
  <si>
    <t>Type 2</t>
  </si>
  <si>
    <t>Type 3</t>
  </si>
  <si>
    <t>Type 4</t>
  </si>
  <si>
    <t>Formula 1</t>
  </si>
  <si>
    <t>Formula 2</t>
  </si>
  <si>
    <t>Formula 3</t>
  </si>
  <si>
    <t>Formula 4</t>
  </si>
  <si>
    <t>AQUISIÇÃO DE CAP-50/70</t>
  </si>
  <si>
    <t>m³</t>
  </si>
  <si>
    <t>{"backend": {"*": [{"var": "formData.width"}, {"var": "formData.length"}, {"var": "formData.height"}]}}</t>
  </si>
  <si>
    <t>MISTURA BETUMINOSA USINADA A QUENTE AC/BC</t>
  </si>
  <si>
    <t>TAPA BURACO COM SERRA CORTA-PISO</t>
  </si>
  <si>
    <t>AQUISIÇAO   RR-1C P/ TAPA BURACO</t>
  </si>
  <si>
    <t>TRANSPORTE DE RR-1C P/ TAPA BURACO</t>
  </si>
  <si>
    <t>TRANSPORTE DE CAP-50/70</t>
  </si>
  <si>
    <t>REMENDO PROFUNDO COM DEMOLIÇÃO MECÂNICA E SERRA</t>
  </si>
  <si>
    <t>AQUISIÇÃO DE CM-30 PARA IMPRIMAÇÃO</t>
  </si>
  <si>
    <t>TRANSPORTE DE CM-30 P/ IMPRIMAÇÃO</t>
  </si>
  <si>
    <t>BRITA PARA BASE DE REMENDO PROFUNDO</t>
  </si>
  <si>
    <t>IMPRIMAÇÃO</t>
  </si>
  <si>
    <t>ALVENARIA DE TIJOLOS 20 cm ESPESSURA AC</t>
  </si>
  <si>
    <t>ASSENTAMENTO DE DRENO PROFUNDO AC/BC</t>
  </si>
  <si>
    <t>m</t>
  </si>
  <si>
    <t>ASSENTAMENTO DE DRENO PROFUNDO</t>
  </si>
  <si>
    <t>{"backend": {"var": "formData.length"}}</t>
  </si>
  <si>
    <t>ASSENTAMENTO DE TUBO D=0,60M AC/BC</t>
  </si>
  <si>
    <t>ASSENTAMENTO DE TUBO D=0,80M AC/BC</t>
  </si>
  <si>
    <t>ASSENTAMENTO DE TUBO D=1,00M AC/BC</t>
  </si>
  <si>
    <t>ASSENTAMENTO DE TUBO D=1,20M AC/BC</t>
  </si>
  <si>
    <t>BOCA SAÍDA DRENO SUB-HORIZONTAL BSD-04</t>
  </si>
  <si>
    <t>CAIAÇÃO</t>
  </si>
  <si>
    <t>CAPINA MANUAL</t>
  </si>
  <si>
    <t>CONCRETO CICLÓPICO AC/BC/PC</t>
  </si>
  <si>
    <t>CONCRETO DE CIMENTO (CONFECÇÃO E  LANÇAM.) AC/BC</t>
  </si>
  <si>
    <t>CONFECÇÃO E LANÇAMENTO DE CONCRETO MAGRO BETONEIRA AC/BC</t>
  </si>
  <si>
    <t>CORTE E LIMPEZA DE AREAS GRAMADAS</t>
  </si>
  <si>
    <t>DESM.DEST.E LIMP.AREAS ARV. D ATE 0,15M</t>
  </si>
  <si>
    <t>DESOBSTRUÇÃO DE BUEIRO</t>
  </si>
  <si>
    <t>DESTOCAMENTO DE ÁRVORES D=0,15 A 0,30 M</t>
  </si>
  <si>
    <t>DRENO SUB-HORIZONTAL - DSH 01</t>
  </si>
  <si>
    <t>ENROCAMENTO DE PEDRA ARRUMADA</t>
  </si>
  <si>
    <t>ENROCAMENTO DE PEDRA JOGADA</t>
  </si>
  <si>
    <t>ESCAVAÇÃO MANUAL EM MATERIAL DE 1ª CAT.</t>
  </si>
  <si>
    <t>ESCAVAÇÃO MECANIZADA DE VALA EM MATERIAL DE 1ª CAT.</t>
  </si>
  <si>
    <t>FORMA COMUM DE MADEIRA</t>
  </si>
  <si>
    <t>FORNECIMENTO PREP. COLOCAÇÃO AÇO CA-50</t>
  </si>
  <si>
    <t>LIMPEZA DE BUEIRO</t>
  </si>
  <si>
    <t>LIMPEZA DE DESCIDA D'ÁGUA</t>
  </si>
  <si>
    <t>LIMPEZA DE PONTE</t>
  </si>
  <si>
    <t>LIMPEZA DE SARJETA E MEIO-FIO</t>
  </si>
  <si>
    <t>LIMPEZA DE VALA DE DRENAGEM</t>
  </si>
  <si>
    <t>LIMPEZA DE VALETA DE CORTE</t>
  </si>
  <si>
    <t>PERFURAÇÃO P/ DRENO SUB-HORIZ. MAT 1°CAT</t>
  </si>
  <si>
    <t>REATERRO APILOADO</t>
  </si>
  <si>
    <t>REATERRO E COMPACTAÇÃO P/ BUEIRO</t>
  </si>
  <si>
    <t>RECOMPOSIÇÃO DE GUARDA-CORPO AC/BC</t>
  </si>
  <si>
    <t>RECOMPOSIÇÃO MECANIZADA DE ATERRO</t>
  </si>
  <si>
    <t>RECOMPOSIÇÃO PARCIAL CERCA MOURÃO CONC. SEÇÃO QUADR. AC/BC</t>
  </si>
  <si>
    <t>RECOMPOSIÇÃO TOTAL CERCA C/ SUP. CONC. SEÇÃO QUADR. AC/BC</t>
  </si>
  <si>
    <t>REGULARIZAÇÃO MECÂNICA DA FAIXA DE DOMÍNIO</t>
  </si>
  <si>
    <t>REMOÇÃO DE MATACÕES</t>
  </si>
  <si>
    <t>REMOÇÃO MANUAL DE BARREIRA EM SOLO</t>
  </si>
  <si>
    <t>REMOÇÃO MECANIZADA DE BARREIRA EM SOLO</t>
  </si>
  <si>
    <t>RESTAURAÇÃO DE DISP. DANIF. COM CONCRETO FCK= 15MPa AC/BC</t>
  </si>
  <si>
    <t>REVESTIMENTO VEGETAL C/ GRAMA EM LEIVAS</t>
  </si>
  <si>
    <t>ROÇADA MANUAL</t>
  </si>
  <si>
    <t>TUBULAÇÃO DE DRENAGEM URBANA - D=0,40M S/ BERÇO</t>
  </si>
  <si>
    <t>AQUISIÇÃO DE CAP C/ POLÍMERO SBS 60/85</t>
  </si>
  <si>
    <t>BASE DE BRITA GRADUADA BC</t>
  </si>
  <si>
    <t>BASE DE MACADAME HIDRÁULICO BC</t>
  </si>
  <si>
    <t>COMPACTAÇÃO DE ATERROS A 95% PROCTOR NORMAL</t>
  </si>
  <si>
    <t>MISTURA BETUMINOSA USINADA QUENTE AC/BC</t>
  </si>
  <si>
    <t>RECOMPOSIÇÃO DO REVESTIMENTO COM MBUQ</t>
  </si>
  <si>
    <t>REGULARIZAÇÃO DO SUBLEITO</t>
  </si>
  <si>
    <t>REMOÇÃO MECANIZADA DA CAMADA GRANULAR DO PAVIMENTO</t>
  </si>
  <si>
    <t>REMOÇÃO MECANIZADA DE REVESTIMENTO BETUMINOSO</t>
  </si>
  <si>
    <t>TRANSPORTE DE CAP C/ POLÍMERO SBS 60/85</t>
  </si>
  <si>
    <t>AQUISIÇÃO DE RR-1C P/ PINTURA DE LIGAÇÃO</t>
  </si>
  <si>
    <t>PINTURA DE LIGAÇÃO</t>
  </si>
  <si>
    <t>TRANSPORTE DE RR-1C P/ PINTURA DE LIGAÇÃO</t>
  </si>
  <si>
    <t>CORREÇÃO DE DEFEITOS POR FRESAGEM DESCONTÍNUA</t>
  </si>
  <si>
    <t>AQUISIÇAO  RR-1C P/ CORREÇÃO DE DEFEITOS</t>
  </si>
  <si>
    <t>CORREÇÃO DE DEFEITOS COM MBUQ</t>
  </si>
  <si>
    <t>TRANSPORTE DE RR-1C P/ CORREÇÃO DE DEFEITOS</t>
  </si>
  <si>
    <t>AQUISIÇÃO DE RL-1C C/ POLÍMERO P/ MICRO</t>
  </si>
  <si>
    <t>TRANSPORTE DE RL-1C C/ POLÍMERO P/ MICRO</t>
  </si>
  <si>
    <t>MICRO-REVESTIMENTO A FRIO MICROFLEX 2,0 CM BC</t>
  </si>
  <si>
    <t>PINTURA DE FAIXA – TINTA BASE ACRÍLICA P/ 1 ANO</t>
  </si>
  <si>
    <t>MURO GABIÃO CX 1,00 ALT.8X10,ZN/AL D=2,7mm</t>
  </si>
  <si>
    <t>TRANSPORTE LOCAL DE MATERIAL PARA REMENDOS</t>
  </si>
  <si>
    <t>TRANSPORTE  COMERCIAL C/ CARROCERIA RODOV. PAV.</t>
  </si>
  <si>
    <t>TRANSPORTE COMERCIAL C/ BASCULANTE 10 M3 RODOV.PAV.</t>
  </si>
  <si>
    <t>CAMINHÃO BASCULANTE MERCEDES BENZ 5 m³ 8,8t</t>
  </si>
  <si>
    <t>CAMINHÃO CARROCERIA 9t</t>
  </si>
  <si>
    <t>CAMINHÃO CARROCERIA COM GUINDAUTO</t>
  </si>
  <si>
    <t>CARREGADEIRA DE PNEUS: CARTERPILLAR – 924G -  1,80 m³</t>
  </si>
  <si>
    <t>CARREGADEIRA DE PNEUS: CASE SR 175 - COM VASSOURA</t>
  </si>
  <si>
    <t>ESCAVADEIRA HIDRÁULICA</t>
  </si>
  <si>
    <t>MÁQUINA MANUAL - MOTOSERRA Nº 8</t>
  </si>
  <si>
    <t>MOTONIVELADORA CATERPILLAR 120H</t>
  </si>
  <si>
    <t>RETROESCAVADEIRA MASSEY FERGUSON MF-86HF</t>
  </si>
  <si>
    <t>SUPORTE ECOLÓGICO SINALIZAÇÃO QUADRADO 8,0 cm</t>
  </si>
  <si>
    <t>TUBO DRENO PEAD ESPIRALADO D=100mm</t>
  </si>
  <si>
    <t>PELÍCULA REFLETIVA LENTES INCLUSAS</t>
  </si>
  <si>
    <t>TINTA ESMALTE SINTÉTICO SEMI-FOSCO</t>
  </si>
  <si>
    <t>GEOTÊXTIL NÃO TECIDO AGULHADO RT-14</t>
  </si>
  <si>
    <t>GASTALHO 10 X 2,5 cm</t>
  </si>
  <si>
    <t>TUBO PVC D = 100 mm</t>
  </si>
  <si>
    <t>CAIBRO 7,5 X 7,5 cm</t>
  </si>
  <si>
    <t>PARAFUSO ZINCADO C/ FENDA 1 1/2'' X 3/16''</t>
  </si>
  <si>
    <t>PARAFUSO ZINCADO FRANCÊS 4'' X 5/16''</t>
  </si>
  <si>
    <t>CHAPA DE AÇO Nº 16 TRATADA</t>
  </si>
  <si>
    <t>ENCARREGADO DE TURMA</t>
  </si>
  <si>
    <t>SERVENTE</t>
  </si>
  <si>
    <t>PEDREIRO</t>
  </si>
  <si>
    <t>PINTOR</t>
  </si>
  <si>
    <t>INSTALAÇÃO PROVISÓRIA PARA CANTEIRO E ACAMPAMENTO</t>
  </si>
  <si>
    <t>MOBILIZACAO E DESMOBILIZAÇÃO</t>
  </si>
  <si>
    <t>Serviço</t>
  </si>
  <si>
    <t>Coef. Ajuste Bocaína</t>
  </si>
  <si>
    <t>Coef Aj. RL</t>
  </si>
  <si>
    <t>Delta</t>
  </si>
  <si>
    <t xml:space="preserve"> II - CONSERVAÇÃO PREVENTIVA PERIÓDICA</t>
  </si>
  <si>
    <t>pavement</t>
  </si>
  <si>
    <t>MISTURA BETUMINOSA USINADA A QUENTE</t>
  </si>
  <si>
    <t>BRITA PARA BASE</t>
  </si>
  <si>
    <t>AQUISIÇÃO DE CAP-50/70
TRANSPORTE DE CAP-50/70</t>
  </si>
  <si>
    <t>DEMOLIÇÃO MECÂNICA</t>
  </si>
  <si>
    <t>INSTALAÇÃO DE TACHÃO REFLEXIVO</t>
  </si>
  <si>
    <t>INSTALAÇÃO DE CERCA 4 FIOS</t>
  </si>
  <si>
    <t>signaling</t>
  </si>
  <si>
    <t>Tapa Buraco</t>
  </si>
  <si>
    <t>Remendo profundo</t>
  </si>
  <si>
    <t>Fresagem e recomposição</t>
  </si>
  <si>
    <t>Microrrevestimento</t>
  </si>
  <si>
    <t>Dreno Longitudinal 15x60</t>
  </si>
  <si>
    <t>Dreno Transversal 13x30</t>
  </si>
  <si>
    <t>Cerca 4 Fios</t>
  </si>
  <si>
    <t>Faixa de sinalização Definitiva</t>
  </si>
  <si>
    <t>Tachão refletivo bidirecional</t>
  </si>
  <si>
    <t>other_services</t>
  </si>
  <si>
    <t>LIMPEZA DE PLACA</t>
  </si>
  <si>
    <t>Limpeza de 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</si>
</sst>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name val="Helvetica Neue"/>
      <family val="2"/>
    </font>
    <font>
      <sz val="10"/>
      <color rgb="FF000000"/>
      <name val="Helvetica Neue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medium">
        <color rgb="FFA5A5A5"/>
      </left>
      <right style="medium">
        <color rgb="FFA5A5A5"/>
      </right>
      <top style="medium">
        <color rgb="FFCCCCCC"/>
      </top>
      <bottom style="medium">
        <color rgb="FF3F3F3F"/>
      </bottom>
      <diagonal/>
    </border>
    <border>
      <left style="medium">
        <color rgb="FFCCCCCC"/>
      </left>
      <right style="medium">
        <color rgb="FFA5A5A5"/>
      </right>
      <top style="medium">
        <color rgb="FFCCCCCC"/>
      </top>
      <bottom style="medium">
        <color rgb="FF3F3F3F"/>
      </bottom>
      <diagonal/>
    </border>
    <border>
      <left/>
      <right style="medium">
        <color rgb="FFA5A5A5"/>
      </right>
      <top style="medium">
        <color rgb="FFCCCCCC"/>
      </top>
      <bottom style="medium">
        <color rgb="FF3F3F3F"/>
      </bottom>
      <diagonal/>
    </border>
    <border>
      <left style="medium">
        <color rgb="FFA5A5A5"/>
      </left>
      <right style="medium">
        <color rgb="FF3F3F3F"/>
      </right>
      <top style="medium">
        <color rgb="FFCCCCCC"/>
      </top>
      <bottom style="medium">
        <color rgb="FFA5A5A5"/>
      </bottom>
      <diagonal/>
    </border>
    <border>
      <left style="medium">
        <color rgb="FFCCCCCC"/>
      </left>
      <right style="medium">
        <color rgb="FFA5A5A5"/>
      </right>
      <top style="medium">
        <color rgb="FFCCCCCC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3F3F3F"/>
      </top>
      <bottom style="medium">
        <color rgb="FFA5A5A5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rgb="FF3F3F3F"/>
      </top>
      <bottom style="medium">
        <color rgb="FFA5A5A5"/>
      </bottom>
      <diagonal/>
    </border>
    <border>
      <left style="medium">
        <color theme="1"/>
      </left>
      <right style="medium">
        <color theme="0" tint="-0.34998626667073579"/>
      </right>
      <top/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rgb="FFA5A5A5"/>
      </bottom>
      <diagonal/>
    </border>
  </borders>
  <cellStyleXfs count="2">
    <xf numFmtId="0" fontId="0" fillId="0" borderId="0"/>
    <xf numFmtId="164" fontId="1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164" fontId="2" fillId="2" borderId="2" xfId="1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3" fillId="2" borderId="5" xfId="0" applyFont="1" applyFill="1" applyBorder="1" applyAlignment="1">
      <alignment horizontal="right" vertical="top"/>
    </xf>
    <xf numFmtId="164" fontId="3" fillId="2" borderId="5" xfId="1" applyFont="1" applyFill="1" applyBorder="1" applyAlignment="1">
      <alignment horizontal="right" vertical="top"/>
    </xf>
    <xf numFmtId="0" fontId="4" fillId="2" borderId="6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0" fillId="2" borderId="0" xfId="0" applyFill="1"/>
    <xf numFmtId="164" fontId="0" fillId="2" borderId="0" xfId="1" applyFont="1" applyFill="1"/>
    <xf numFmtId="0" fontId="0" fillId="3" borderId="0" xfId="0" applyFill="1"/>
    <xf numFmtId="0" fontId="0" fillId="4" borderId="0" xfId="0" applyFill="1"/>
    <xf numFmtId="0" fontId="5" fillId="0" borderId="0" xfId="0" applyFont="1"/>
    <xf numFmtId="0" fontId="0" fillId="0" borderId="0" xfId="0"/>
    <xf numFmtId="164" fontId="0" fillId="0" borderId="0" xfId="1" applyFont="1"/>
    <xf numFmtId="165" fontId="0" fillId="0" borderId="0" xfId="1" applyNumberFormat="1" applyFont="1"/>
    <xf numFmtId="0" fontId="3" fillId="2" borderId="5" xfId="0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D1" zoomScale="162" zoomScaleNormal="125" workbookViewId="0">
      <selection activeCell="M11" sqref="M11"/>
    </sheetView>
  </sheetViews>
  <sheetFormatPr baseColWidth="10" defaultColWidth="9.1640625" defaultRowHeight="15" customHeight="1" x14ac:dyDescent="0.2"/>
  <cols>
    <col min="1" max="2" width="11" style="15" bestFit="1" customWidth="1"/>
    <col min="3" max="3" width="43.5" style="15" bestFit="1" customWidth="1"/>
    <col min="4" max="4" width="10.5" style="15" customWidth="1"/>
    <col min="5" max="5" width="6.83203125" style="15" bestFit="1" customWidth="1"/>
    <col min="6" max="6" width="10" style="15" bestFit="1" customWidth="1"/>
    <col min="7" max="7" width="15.83203125" style="16" bestFit="1" customWidth="1"/>
    <col min="8" max="8" width="12.6640625" style="15" customWidth="1"/>
    <col min="9" max="9" width="19.5" style="15" bestFit="1" customWidth="1"/>
    <col min="10" max="16" width="15.5" style="15" customWidth="1"/>
    <col min="17" max="16384" width="9.1640625" style="15"/>
  </cols>
  <sheetData>
    <row r="1" spans="1:16" ht="1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" customHeight="1" thickBot="1" x14ac:dyDescent="0.25">
      <c r="A2" s="5" t="s">
        <v>132</v>
      </c>
      <c r="B2" s="5">
        <v>1</v>
      </c>
      <c r="C2" s="6" t="s">
        <v>20</v>
      </c>
      <c r="D2" s="7">
        <v>1</v>
      </c>
      <c r="E2" s="7" t="s">
        <v>17</v>
      </c>
      <c r="F2" s="8">
        <v>300</v>
      </c>
      <c r="G2" s="9">
        <v>10000</v>
      </c>
      <c r="H2" s="8">
        <v>1.1499999999999999</v>
      </c>
      <c r="I2" s="15" t="s">
        <v>140</v>
      </c>
      <c r="J2" s="10"/>
      <c r="K2" s="10"/>
      <c r="L2" s="10"/>
      <c r="M2" s="12" t="s">
        <v>18</v>
      </c>
      <c r="N2" s="11"/>
      <c r="O2" s="11"/>
      <c r="P2" s="11"/>
    </row>
    <row r="3" spans="1:16" ht="15" customHeight="1" thickBot="1" x14ac:dyDescent="0.25">
      <c r="A3" s="5" t="s">
        <v>132</v>
      </c>
      <c r="B3" s="5">
        <v>1</v>
      </c>
      <c r="C3" s="23" t="s">
        <v>135</v>
      </c>
      <c r="D3" s="7">
        <v>2</v>
      </c>
      <c r="E3" s="7" t="s">
        <v>17</v>
      </c>
      <c r="F3" s="8">
        <v>100</v>
      </c>
      <c r="G3" s="9">
        <v>10000</v>
      </c>
      <c r="H3" s="8">
        <v>1.1000000000000001</v>
      </c>
      <c r="I3" s="15" t="s">
        <v>140</v>
      </c>
      <c r="J3" s="15" t="s">
        <v>141</v>
      </c>
      <c r="K3" s="15" t="s">
        <v>142</v>
      </c>
      <c r="L3" s="15" t="s">
        <v>143</v>
      </c>
      <c r="M3" s="12" t="s">
        <v>18</v>
      </c>
      <c r="N3" s="12" t="s">
        <v>18</v>
      </c>
      <c r="O3" s="12" t="s">
        <v>18</v>
      </c>
      <c r="P3" s="12" t="s">
        <v>18</v>
      </c>
    </row>
    <row r="4" spans="1:16" ht="15" customHeight="1" thickBot="1" x14ac:dyDescent="0.25">
      <c r="A4" s="5" t="s">
        <v>132</v>
      </c>
      <c r="B4" s="5">
        <v>1</v>
      </c>
      <c r="C4" s="6" t="s">
        <v>136</v>
      </c>
      <c r="D4" s="7">
        <v>3</v>
      </c>
      <c r="E4" s="7" t="s">
        <v>17</v>
      </c>
      <c r="F4" s="8">
        <v>100</v>
      </c>
      <c r="G4" s="9">
        <v>10000</v>
      </c>
      <c r="H4" s="8">
        <v>1.2</v>
      </c>
      <c r="I4" s="15" t="s">
        <v>141</v>
      </c>
      <c r="J4" s="15" t="s">
        <v>142</v>
      </c>
      <c r="K4" s="13"/>
      <c r="L4" s="13"/>
      <c r="M4" s="12" t="s">
        <v>18</v>
      </c>
      <c r="N4" s="12" t="s">
        <v>18</v>
      </c>
      <c r="O4" s="14"/>
      <c r="P4" s="14"/>
    </row>
    <row r="5" spans="1:16" ht="15" customHeight="1" thickBot="1" x14ac:dyDescent="0.25">
      <c r="A5" s="5" t="s">
        <v>132</v>
      </c>
      <c r="B5" s="5">
        <v>1</v>
      </c>
      <c r="C5" s="6" t="s">
        <v>133</v>
      </c>
      <c r="D5" s="7">
        <v>4</v>
      </c>
      <c r="E5" s="7" t="s">
        <v>17</v>
      </c>
      <c r="F5" s="8">
        <v>600</v>
      </c>
      <c r="G5" s="9">
        <v>10000</v>
      </c>
      <c r="H5" s="8">
        <v>1.3</v>
      </c>
      <c r="I5" s="15" t="s">
        <v>140</v>
      </c>
      <c r="J5" s="15" t="s">
        <v>141</v>
      </c>
      <c r="K5" s="15" t="s">
        <v>142</v>
      </c>
      <c r="L5" s="15" t="s">
        <v>143</v>
      </c>
      <c r="M5" s="12" t="s">
        <v>18</v>
      </c>
      <c r="N5" s="12" t="s">
        <v>18</v>
      </c>
      <c r="O5" s="12" t="s">
        <v>18</v>
      </c>
      <c r="P5" s="12" t="s">
        <v>18</v>
      </c>
    </row>
    <row r="6" spans="1:16" ht="15" customHeight="1" thickBot="1" x14ac:dyDescent="0.25">
      <c r="A6" s="5" t="s">
        <v>132</v>
      </c>
      <c r="B6" s="5">
        <v>1</v>
      </c>
      <c r="C6" s="6" t="s">
        <v>134</v>
      </c>
      <c r="D6" s="7">
        <v>5</v>
      </c>
      <c r="E6" s="7" t="s">
        <v>17</v>
      </c>
      <c r="F6" s="8">
        <v>40</v>
      </c>
      <c r="G6" s="9">
        <v>10000</v>
      </c>
      <c r="H6" s="8">
        <v>1.2</v>
      </c>
      <c r="I6" s="15" t="s">
        <v>141</v>
      </c>
      <c r="J6" s="15" t="s">
        <v>142</v>
      </c>
      <c r="L6" s="13"/>
      <c r="M6" s="12" t="s">
        <v>18</v>
      </c>
      <c r="N6" s="12" t="s">
        <v>18</v>
      </c>
      <c r="O6" s="14"/>
      <c r="P6" s="14"/>
    </row>
    <row r="7" spans="1:16" ht="15" customHeight="1" thickBot="1" x14ac:dyDescent="0.25">
      <c r="A7" s="5" t="s">
        <v>149</v>
      </c>
      <c r="B7" s="5">
        <v>2</v>
      </c>
      <c r="C7" s="6" t="s">
        <v>32</v>
      </c>
      <c r="D7" s="7">
        <v>6</v>
      </c>
      <c r="E7" s="7" t="s">
        <v>31</v>
      </c>
      <c r="F7" s="8">
        <v>100</v>
      </c>
      <c r="G7" s="9">
        <v>10000</v>
      </c>
      <c r="H7" s="8">
        <v>1.1000000000000001</v>
      </c>
      <c r="I7" s="15" t="s">
        <v>144</v>
      </c>
      <c r="J7" s="15" t="s">
        <v>145</v>
      </c>
      <c r="K7" s="13"/>
      <c r="L7" s="13"/>
      <c r="M7" s="12" t="s">
        <v>33</v>
      </c>
      <c r="N7" s="12" t="s">
        <v>33</v>
      </c>
      <c r="O7" s="14"/>
      <c r="P7" s="14"/>
    </row>
    <row r="8" spans="1:16" ht="15" customHeight="1" thickBot="1" x14ac:dyDescent="0.25">
      <c r="A8" s="5" t="s">
        <v>149</v>
      </c>
      <c r="B8" s="5">
        <v>2</v>
      </c>
      <c r="C8" s="6" t="s">
        <v>138</v>
      </c>
      <c r="D8" s="7">
        <v>7</v>
      </c>
      <c r="E8" s="7" t="s">
        <v>31</v>
      </c>
      <c r="F8" s="8">
        <v>50</v>
      </c>
      <c r="G8" s="9">
        <v>10000</v>
      </c>
      <c r="H8" s="8">
        <v>1.5</v>
      </c>
      <c r="I8" s="15" t="s">
        <v>146</v>
      </c>
      <c r="J8" s="13"/>
      <c r="K8" s="13"/>
      <c r="L8" s="13"/>
      <c r="M8" s="12" t="s">
        <v>33</v>
      </c>
      <c r="N8" s="14"/>
      <c r="O8" s="14"/>
      <c r="P8" s="14"/>
    </row>
    <row r="9" spans="1:16" ht="15" customHeight="1" thickBot="1" x14ac:dyDescent="0.25">
      <c r="A9" s="5" t="s">
        <v>139</v>
      </c>
      <c r="B9" s="5">
        <v>3</v>
      </c>
      <c r="C9" s="6" t="s">
        <v>96</v>
      </c>
      <c r="D9" s="7">
        <v>8</v>
      </c>
      <c r="E9" s="7" t="s">
        <v>31</v>
      </c>
      <c r="F9" s="8">
        <v>100</v>
      </c>
      <c r="G9" s="9">
        <v>10000</v>
      </c>
      <c r="H9" s="8">
        <v>1.2</v>
      </c>
      <c r="I9" s="15" t="s">
        <v>147</v>
      </c>
      <c r="J9" s="13"/>
      <c r="K9" s="13"/>
      <c r="L9" s="13"/>
      <c r="M9" s="12" t="s">
        <v>33</v>
      </c>
      <c r="N9" s="14"/>
      <c r="O9" s="14"/>
      <c r="P9" s="14"/>
    </row>
    <row r="10" spans="1:16" ht="15" customHeight="1" thickBot="1" x14ac:dyDescent="0.25">
      <c r="A10" s="5" t="s">
        <v>139</v>
      </c>
      <c r="B10" s="5">
        <v>3</v>
      </c>
      <c r="C10" s="15" t="s">
        <v>137</v>
      </c>
      <c r="D10" s="7">
        <v>9</v>
      </c>
      <c r="E10" s="7" t="s">
        <v>31</v>
      </c>
      <c r="F10" s="8">
        <v>120</v>
      </c>
      <c r="G10" s="9">
        <v>10000</v>
      </c>
      <c r="H10" s="8">
        <v>1.4</v>
      </c>
      <c r="I10" s="15" t="s">
        <v>148</v>
      </c>
      <c r="J10" s="13"/>
      <c r="K10" s="13"/>
      <c r="L10" s="13"/>
      <c r="M10" s="12" t="s">
        <v>33</v>
      </c>
      <c r="N10" s="14"/>
      <c r="O10" s="14"/>
      <c r="P10" s="14"/>
    </row>
    <row r="11" spans="1:16" ht="15" customHeight="1" thickBot="1" x14ac:dyDescent="0.25">
      <c r="A11" s="5" t="s">
        <v>139</v>
      </c>
      <c r="B11" s="5">
        <v>3</v>
      </c>
      <c r="C11" s="15" t="s">
        <v>150</v>
      </c>
      <c r="D11" s="7">
        <v>10</v>
      </c>
      <c r="E11" s="7" t="s">
        <v>31</v>
      </c>
      <c r="F11" s="8">
        <v>70</v>
      </c>
      <c r="G11" s="9">
        <v>10000</v>
      </c>
      <c r="H11" s="8">
        <v>1.4</v>
      </c>
      <c r="I11" s="15" t="s">
        <v>151</v>
      </c>
      <c r="M11" s="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8"/>
  <sheetViews>
    <sheetView topLeftCell="A114" workbookViewId="0">
      <selection activeCell="D137" sqref="D137:D138"/>
    </sheetView>
  </sheetViews>
  <sheetFormatPr baseColWidth="10" defaultColWidth="8.83203125" defaultRowHeight="15" x14ac:dyDescent="0.2"/>
  <cols>
    <col min="1" max="1" width="44.83203125" style="20" customWidth="1"/>
    <col min="2" max="2" width="19.33203125" style="20" bestFit="1" customWidth="1"/>
    <col min="3" max="3" width="12" style="20" bestFit="1" customWidth="1"/>
    <col min="4" max="4" width="12.6640625" style="20" bestFit="1" customWidth="1"/>
  </cols>
  <sheetData>
    <row r="1" spans="1:5" x14ac:dyDescent="0.2">
      <c r="A1" s="19" t="s">
        <v>127</v>
      </c>
      <c r="B1" s="19" t="s">
        <v>128</v>
      </c>
      <c r="C1" s="19" t="s">
        <v>129</v>
      </c>
      <c r="D1" s="19" t="s">
        <v>130</v>
      </c>
    </row>
    <row r="2" spans="1:5" x14ac:dyDescent="0.2">
      <c r="A2" t="s">
        <v>16</v>
      </c>
      <c r="B2">
        <v>0.442</v>
      </c>
      <c r="C2" t="e">
        <f>VLOOKUP(A2,Links!$C$2:$H$10,6,FALSE)</f>
        <v>#N/A</v>
      </c>
      <c r="D2" s="21" t="e">
        <f t="shared" ref="D2:D33" si="0">ABS(C2-1-B2)</f>
        <v>#N/A</v>
      </c>
    </row>
    <row r="3" spans="1:5" x14ac:dyDescent="0.2">
      <c r="A3" t="s">
        <v>19</v>
      </c>
      <c r="B3">
        <v>0.107</v>
      </c>
      <c r="C3" t="e">
        <f>VLOOKUP(A3,Links!$C$2:$H$10,6,FALSE)</f>
        <v>#N/A</v>
      </c>
      <c r="D3" s="21" t="e">
        <f t="shared" si="0"/>
        <v>#N/A</v>
      </c>
    </row>
    <row r="4" spans="1:5" x14ac:dyDescent="0.2">
      <c r="A4" t="s">
        <v>20</v>
      </c>
      <c r="B4">
        <v>7.2800000000000004E-2</v>
      </c>
      <c r="C4">
        <f>VLOOKUP(A4,Links!$C$2:$H$10,6,FALSE)</f>
        <v>1.1499999999999999</v>
      </c>
      <c r="D4" s="21">
        <f t="shared" si="0"/>
        <v>7.7199999999999908E-2</v>
      </c>
    </row>
    <row r="5" spans="1:5" x14ac:dyDescent="0.2">
      <c r="A5" t="s">
        <v>21</v>
      </c>
      <c r="B5">
        <v>0.38979999999999998</v>
      </c>
      <c r="C5" t="e">
        <f>VLOOKUP(A5,Links!$C$2:$H$10,6,FALSE)</f>
        <v>#N/A</v>
      </c>
      <c r="D5" s="21" t="e">
        <f t="shared" si="0"/>
        <v>#N/A</v>
      </c>
    </row>
    <row r="6" spans="1:5" x14ac:dyDescent="0.2">
      <c r="A6" t="s">
        <v>22</v>
      </c>
      <c r="B6">
        <v>0.107</v>
      </c>
      <c r="C6" t="e">
        <f>VLOOKUP(A6,Links!$C$2:$H$10,6,FALSE)</f>
        <v>#N/A</v>
      </c>
      <c r="D6" s="21" t="e">
        <f t="shared" si="0"/>
        <v>#N/A</v>
      </c>
    </row>
    <row r="7" spans="1:5" x14ac:dyDescent="0.2">
      <c r="A7" t="s">
        <v>23</v>
      </c>
      <c r="B7">
        <v>0.107</v>
      </c>
      <c r="C7" t="e">
        <f>VLOOKUP(A7,Links!$C$2:$H$10,6,FALSE)</f>
        <v>#N/A</v>
      </c>
      <c r="D7" s="21" t="e">
        <f t="shared" si="0"/>
        <v>#N/A</v>
      </c>
    </row>
    <row r="8" spans="1:5" x14ac:dyDescent="0.2">
      <c r="C8" t="e">
        <f>VLOOKUP(A8,Links!$C$2:$H$10,6,FALSE)</f>
        <v>#N/A</v>
      </c>
      <c r="D8" s="21" t="e">
        <f t="shared" si="0"/>
        <v>#N/A</v>
      </c>
    </row>
    <row r="9" spans="1:5" x14ac:dyDescent="0.2">
      <c r="A9" t="s">
        <v>16</v>
      </c>
      <c r="B9">
        <v>0.442</v>
      </c>
      <c r="C9" t="e">
        <f>VLOOKUP(A9,Links!$C$2:$H$10,6,FALSE)</f>
        <v>#N/A</v>
      </c>
      <c r="D9" s="21" t="e">
        <f t="shared" si="0"/>
        <v>#N/A</v>
      </c>
    </row>
    <row r="10" spans="1:5" x14ac:dyDescent="0.2">
      <c r="A10" t="s">
        <v>24</v>
      </c>
      <c r="B10">
        <v>7.2800000000000004E-2</v>
      </c>
      <c r="C10" t="e">
        <f>VLOOKUP(A10,Links!$C$2:$H$10,6,FALSE)</f>
        <v>#N/A</v>
      </c>
      <c r="D10" s="21" t="e">
        <f t="shared" si="0"/>
        <v>#N/A</v>
      </c>
      <c r="E10" s="17">
        <f>B10+1</f>
        <v>1.0728</v>
      </c>
    </row>
    <row r="11" spans="1:5" x14ac:dyDescent="0.2">
      <c r="A11" t="s">
        <v>19</v>
      </c>
      <c r="B11">
        <v>0.107</v>
      </c>
      <c r="C11" t="e">
        <f>VLOOKUP(A11,Links!$C$2:$H$10,6,FALSE)</f>
        <v>#N/A</v>
      </c>
      <c r="D11" s="21" t="e">
        <f t="shared" si="0"/>
        <v>#N/A</v>
      </c>
    </row>
    <row r="12" spans="1:5" x14ac:dyDescent="0.2">
      <c r="A12" t="s">
        <v>25</v>
      </c>
      <c r="B12">
        <v>0.48409999999999997</v>
      </c>
      <c r="C12" t="e">
        <f>VLOOKUP(A12,Links!$C$2:$H$10,6,FALSE)</f>
        <v>#N/A</v>
      </c>
      <c r="D12" s="21" t="e">
        <f t="shared" si="0"/>
        <v>#N/A</v>
      </c>
      <c r="E12" s="17">
        <f>B12+1</f>
        <v>1.4841</v>
      </c>
    </row>
    <row r="13" spans="1:5" x14ac:dyDescent="0.2">
      <c r="A13" t="s">
        <v>26</v>
      </c>
      <c r="B13">
        <v>0.107</v>
      </c>
      <c r="C13" t="e">
        <f>VLOOKUP(A13,Links!$C$2:$H$10,6,FALSE)</f>
        <v>#N/A</v>
      </c>
      <c r="D13" s="21" t="e">
        <f t="shared" si="0"/>
        <v>#N/A</v>
      </c>
    </row>
    <row r="14" spans="1:5" x14ac:dyDescent="0.2">
      <c r="A14" t="s">
        <v>23</v>
      </c>
      <c r="B14">
        <v>0.107</v>
      </c>
      <c r="C14" t="e">
        <f>VLOOKUP(A14,Links!$C$2:$H$10,6,FALSE)</f>
        <v>#N/A</v>
      </c>
      <c r="D14" s="21" t="e">
        <f t="shared" si="0"/>
        <v>#N/A</v>
      </c>
    </row>
    <row r="15" spans="1:5" x14ac:dyDescent="0.2">
      <c r="A15" t="s">
        <v>27</v>
      </c>
      <c r="B15">
        <v>0.107</v>
      </c>
      <c r="C15" t="e">
        <f>VLOOKUP(A15,Links!$C$2:$H$10,6,FALSE)</f>
        <v>#N/A</v>
      </c>
      <c r="D15" s="21" t="e">
        <f t="shared" si="0"/>
        <v>#N/A</v>
      </c>
      <c r="E15" s="17">
        <f>B15+1</f>
        <v>1.107</v>
      </c>
    </row>
    <row r="16" spans="1:5" x14ac:dyDescent="0.2">
      <c r="A16" t="s">
        <v>28</v>
      </c>
      <c r="B16">
        <v>0.107</v>
      </c>
      <c r="C16" t="e">
        <f>VLOOKUP(A16,Links!$C$2:$H$10,6,FALSE)</f>
        <v>#N/A</v>
      </c>
      <c r="D16" s="21" t="e">
        <f t="shared" si="0"/>
        <v>#N/A</v>
      </c>
    </row>
    <row r="17" spans="1:5" x14ac:dyDescent="0.2">
      <c r="C17" t="e">
        <f>VLOOKUP(A17,Links!$C$2:$H$10,6,FALSE)</f>
        <v>#N/A</v>
      </c>
      <c r="D17" s="21" t="e">
        <f t="shared" si="0"/>
        <v>#N/A</v>
      </c>
    </row>
    <row r="18" spans="1:5" x14ac:dyDescent="0.2">
      <c r="A18" t="s">
        <v>64</v>
      </c>
      <c r="B18">
        <v>7.2800000000000004E-2</v>
      </c>
      <c r="C18" t="e">
        <f>VLOOKUP(A18,Links!$C$2:$H$10,6,FALSE)</f>
        <v>#N/A</v>
      </c>
      <c r="D18" s="21" t="e">
        <f t="shared" si="0"/>
        <v>#N/A</v>
      </c>
    </row>
    <row r="19" spans="1:5" x14ac:dyDescent="0.2">
      <c r="A19" s="18" t="s">
        <v>72</v>
      </c>
      <c r="C19" t="e">
        <f>VLOOKUP(A19,Links!$C$2:$H$10,6,FALSE)</f>
        <v>#N/A</v>
      </c>
      <c r="D19" s="21" t="e">
        <f t="shared" si="0"/>
        <v>#N/A</v>
      </c>
    </row>
    <row r="20" spans="1:5" x14ac:dyDescent="0.2">
      <c r="A20" s="18" t="s">
        <v>29</v>
      </c>
      <c r="C20" t="e">
        <f>VLOOKUP(A20,Links!$C$2:$H$10,6,FALSE)</f>
        <v>#N/A</v>
      </c>
      <c r="D20" s="21" t="e">
        <f t="shared" si="0"/>
        <v>#N/A</v>
      </c>
    </row>
    <row r="21" spans="1:5" x14ac:dyDescent="0.2">
      <c r="A21" s="18" t="s">
        <v>66</v>
      </c>
      <c r="C21" t="e">
        <f>VLOOKUP(A21,Links!$C$2:$H$10,6,FALSE)</f>
        <v>#N/A</v>
      </c>
      <c r="D21" s="21" t="e">
        <f t="shared" si="0"/>
        <v>#N/A</v>
      </c>
    </row>
    <row r="22" spans="1:5" x14ac:dyDescent="0.2">
      <c r="A22" t="s">
        <v>67</v>
      </c>
      <c r="B22">
        <v>7.2800000000000004E-2</v>
      </c>
      <c r="C22" t="e">
        <f>VLOOKUP(A22,Links!$C$2:$H$10,6,FALSE)</f>
        <v>#N/A</v>
      </c>
      <c r="D22" s="21" t="e">
        <f t="shared" si="0"/>
        <v>#N/A</v>
      </c>
    </row>
    <row r="23" spans="1:5" x14ac:dyDescent="0.2">
      <c r="A23" s="18" t="s">
        <v>45</v>
      </c>
      <c r="C23" t="e">
        <f>VLOOKUP(A23,Links!$C$2:$H$10,6,FALSE)</f>
        <v>#N/A</v>
      </c>
      <c r="D23" s="21" t="e">
        <f t="shared" si="0"/>
        <v>#N/A</v>
      </c>
    </row>
    <row r="24" spans="1:5" x14ac:dyDescent="0.2">
      <c r="A24" s="18" t="s">
        <v>47</v>
      </c>
      <c r="C24" t="e">
        <f>VLOOKUP(A24,Links!$C$2:$H$10,6,FALSE)</f>
        <v>#N/A</v>
      </c>
      <c r="D24" s="21" t="e">
        <f t="shared" si="0"/>
        <v>#N/A</v>
      </c>
    </row>
    <row r="25" spans="1:5" x14ac:dyDescent="0.2">
      <c r="A25" t="s">
        <v>42</v>
      </c>
      <c r="B25">
        <v>0.1333</v>
      </c>
      <c r="C25" t="e">
        <f>VLOOKUP(A25,Links!$C$2:$H$10,6,FALSE)</f>
        <v>#N/A</v>
      </c>
      <c r="D25" s="21" t="e">
        <f t="shared" si="0"/>
        <v>#N/A</v>
      </c>
    </row>
    <row r="26" spans="1:5" x14ac:dyDescent="0.2">
      <c r="A26" t="s">
        <v>68</v>
      </c>
      <c r="B26">
        <v>0.12770000000000001</v>
      </c>
      <c r="C26" t="e">
        <f>VLOOKUP(A26,Links!$C$2:$H$10,6,FALSE)</f>
        <v>#N/A</v>
      </c>
      <c r="D26" s="21" t="e">
        <f t="shared" si="0"/>
        <v>#N/A</v>
      </c>
    </row>
    <row r="27" spans="1:5" x14ac:dyDescent="0.2">
      <c r="A27" t="s">
        <v>62</v>
      </c>
      <c r="B27">
        <v>0.12770000000000001</v>
      </c>
      <c r="C27" t="e">
        <f>VLOOKUP(A27,Links!$C$2:$H$10,6,FALSE)</f>
        <v>#N/A</v>
      </c>
      <c r="D27" s="21" t="e">
        <f t="shared" si="0"/>
        <v>#N/A</v>
      </c>
    </row>
    <row r="28" spans="1:5" x14ac:dyDescent="0.2">
      <c r="A28" t="s">
        <v>34</v>
      </c>
      <c r="B28">
        <v>7.2800000000000004E-2</v>
      </c>
      <c r="C28" t="e">
        <f>VLOOKUP(A28,Links!$C$2:$H$10,6,FALSE)</f>
        <v>#N/A</v>
      </c>
      <c r="D28" s="21" t="e">
        <f t="shared" si="0"/>
        <v>#N/A</v>
      </c>
    </row>
    <row r="29" spans="1:5" x14ac:dyDescent="0.2">
      <c r="A29" t="s">
        <v>35</v>
      </c>
      <c r="B29">
        <v>7.2800000000000004E-2</v>
      </c>
      <c r="C29" t="e">
        <f>VLOOKUP(A29,Links!$C$2:$H$10,6,FALSE)</f>
        <v>#N/A</v>
      </c>
      <c r="D29" s="21" t="e">
        <f t="shared" si="0"/>
        <v>#N/A</v>
      </c>
    </row>
    <row r="30" spans="1:5" x14ac:dyDescent="0.2">
      <c r="A30" t="s">
        <v>63</v>
      </c>
      <c r="B30">
        <v>0.12770000000000001</v>
      </c>
      <c r="C30" t="e">
        <f>VLOOKUP(A30,Links!$C$2:$H$10,6,FALSE)</f>
        <v>#N/A</v>
      </c>
      <c r="D30" s="21" t="e">
        <f t="shared" si="0"/>
        <v>#N/A</v>
      </c>
      <c r="E30" s="17">
        <f>B30+1</f>
        <v>1.1276999999999999</v>
      </c>
    </row>
    <row r="31" spans="1:5" x14ac:dyDescent="0.2">
      <c r="A31" t="s">
        <v>50</v>
      </c>
      <c r="B31">
        <v>0.12770000000000001</v>
      </c>
      <c r="C31" t="e">
        <f>VLOOKUP(A31,Links!$C$2:$H$10,6,FALSE)</f>
        <v>#N/A</v>
      </c>
      <c r="D31" s="21" t="e">
        <f t="shared" si="0"/>
        <v>#N/A</v>
      </c>
      <c r="E31" s="17">
        <f>B31+1</f>
        <v>1.1276999999999999</v>
      </c>
    </row>
    <row r="32" spans="1:5" x14ac:dyDescent="0.2">
      <c r="A32" t="s">
        <v>41</v>
      </c>
      <c r="B32">
        <v>0.1333</v>
      </c>
      <c r="C32" t="e">
        <f>VLOOKUP(A32,Links!$C$2:$H$10,6,FALSE)</f>
        <v>#N/A</v>
      </c>
      <c r="D32" s="21" t="e">
        <f t="shared" si="0"/>
        <v>#N/A</v>
      </c>
    </row>
    <row r="33" spans="1:5" x14ac:dyDescent="0.2">
      <c r="A33" t="s">
        <v>54</v>
      </c>
      <c r="B33">
        <v>0.1333</v>
      </c>
      <c r="C33" t="e">
        <f>VLOOKUP(A33,Links!$C$2:$H$10,6,FALSE)</f>
        <v>#N/A</v>
      </c>
      <c r="D33" s="21" t="e">
        <f t="shared" si="0"/>
        <v>#N/A</v>
      </c>
      <c r="E33" s="17">
        <f>B33+1</f>
        <v>1.1333</v>
      </c>
    </row>
    <row r="34" spans="1:5" x14ac:dyDescent="0.2">
      <c r="A34" t="s">
        <v>53</v>
      </c>
      <c r="B34">
        <v>0.1333</v>
      </c>
      <c r="C34" t="e">
        <f>VLOOKUP(A34,Links!$C$2:$H$10,6,FALSE)</f>
        <v>#N/A</v>
      </c>
      <c r="D34" s="21" t="e">
        <f t="shared" ref="D34:D65" si="1">ABS(C34-1-B34)</f>
        <v>#N/A</v>
      </c>
    </row>
    <row r="35" spans="1:5" x14ac:dyDescent="0.2">
      <c r="A35" t="s">
        <v>57</v>
      </c>
      <c r="B35">
        <v>7.2800000000000004E-2</v>
      </c>
      <c r="C35" t="e">
        <f>VLOOKUP(A35,Links!$C$2:$H$10,6,FALSE)</f>
        <v>#N/A</v>
      </c>
      <c r="D35" s="21" t="e">
        <f t="shared" si="1"/>
        <v>#N/A</v>
      </c>
    </row>
    <row r="36" spans="1:5" x14ac:dyDescent="0.2">
      <c r="A36" t="s">
        <v>51</v>
      </c>
      <c r="B36">
        <v>0.12770000000000001</v>
      </c>
      <c r="C36" t="e">
        <f>VLOOKUP(A36,Links!$C$2:$H$10,6,FALSE)</f>
        <v>#N/A</v>
      </c>
      <c r="D36" s="21" t="e">
        <f t="shared" si="1"/>
        <v>#N/A</v>
      </c>
    </row>
    <row r="37" spans="1:5" x14ac:dyDescent="0.2">
      <c r="A37" t="s">
        <v>52</v>
      </c>
      <c r="B37">
        <v>0.12770000000000001</v>
      </c>
      <c r="C37" t="e">
        <f>VLOOKUP(A37,Links!$C$2:$H$10,6,FALSE)</f>
        <v>#N/A</v>
      </c>
      <c r="D37" s="21" t="e">
        <f t="shared" si="1"/>
        <v>#N/A</v>
      </c>
    </row>
    <row r="38" spans="1:5" x14ac:dyDescent="0.2">
      <c r="A38" s="18" t="s">
        <v>48</v>
      </c>
      <c r="C38" t="e">
        <f>VLOOKUP(A38,Links!$C$2:$H$10,6,FALSE)</f>
        <v>#N/A</v>
      </c>
      <c r="D38" s="21" t="e">
        <f t="shared" si="1"/>
        <v>#N/A</v>
      </c>
    </row>
    <row r="39" spans="1:5" x14ac:dyDescent="0.2">
      <c r="A39" s="18" t="s">
        <v>38</v>
      </c>
      <c r="C39" t="e">
        <f>VLOOKUP(A39,Links!$C$2:$H$10,6,FALSE)</f>
        <v>#N/A</v>
      </c>
      <c r="D39" s="21" t="e">
        <f t="shared" si="1"/>
        <v>#N/A</v>
      </c>
    </row>
    <row r="40" spans="1:5" x14ac:dyDescent="0.2">
      <c r="A40" s="18" t="s">
        <v>61</v>
      </c>
      <c r="C40" t="e">
        <f>VLOOKUP(A40,Links!$C$2:$H$10,6,FALSE)</f>
        <v>#N/A</v>
      </c>
      <c r="D40" s="21" t="e">
        <f t="shared" si="1"/>
        <v>#N/A</v>
      </c>
    </row>
    <row r="41" spans="1:5" x14ac:dyDescent="0.2">
      <c r="A41" t="s">
        <v>36</v>
      </c>
      <c r="B41">
        <v>7.2800000000000004E-2</v>
      </c>
      <c r="C41" t="e">
        <f>VLOOKUP(A41,Links!$C$2:$H$10,6,FALSE)</f>
        <v>#N/A</v>
      </c>
      <c r="D41" s="21" t="e">
        <f t="shared" si="1"/>
        <v>#N/A</v>
      </c>
    </row>
    <row r="42" spans="1:5" x14ac:dyDescent="0.2">
      <c r="A42" t="s">
        <v>49</v>
      </c>
      <c r="B42">
        <v>7.0300000000000001E-2</v>
      </c>
      <c r="C42" t="e">
        <f>VLOOKUP(A42,Links!$C$2:$H$10,6,FALSE)</f>
        <v>#N/A</v>
      </c>
      <c r="D42" s="21" t="e">
        <f t="shared" si="1"/>
        <v>#N/A</v>
      </c>
      <c r="E42" s="17">
        <f>B42+1</f>
        <v>1.0703</v>
      </c>
    </row>
    <row r="43" spans="1:5" x14ac:dyDescent="0.2">
      <c r="A43" t="s">
        <v>73</v>
      </c>
      <c r="B43">
        <v>7.2800000000000004E-2</v>
      </c>
      <c r="C43" t="e">
        <f>VLOOKUP(A43,Links!$C$2:$H$10,6,FALSE)</f>
        <v>#N/A</v>
      </c>
      <c r="D43" s="22" t="e">
        <f t="shared" si="1"/>
        <v>#N/A</v>
      </c>
    </row>
    <row r="44" spans="1:5" x14ac:dyDescent="0.2">
      <c r="A44" t="s">
        <v>30</v>
      </c>
      <c r="B44">
        <v>7.0300000000000001E-2</v>
      </c>
      <c r="C44" t="e">
        <f>VLOOKUP(A44,Links!$C$2:$H$10,6,FALSE)</f>
        <v>#N/A</v>
      </c>
      <c r="D44" s="21" t="e">
        <f t="shared" si="1"/>
        <v>#N/A</v>
      </c>
      <c r="E44" s="17">
        <f>B44+1</f>
        <v>1.0703</v>
      </c>
    </row>
    <row r="45" spans="1:5" x14ac:dyDescent="0.2">
      <c r="A45" t="s">
        <v>58</v>
      </c>
      <c r="B45">
        <v>7.2800000000000004E-2</v>
      </c>
      <c r="C45" t="e">
        <f>VLOOKUP(A45,Links!$C$2:$H$10,6,FALSE)</f>
        <v>#N/A</v>
      </c>
      <c r="D45" s="22" t="e">
        <f t="shared" si="1"/>
        <v>#N/A</v>
      </c>
    </row>
    <row r="46" spans="1:5" x14ac:dyDescent="0.2">
      <c r="A46" t="s">
        <v>60</v>
      </c>
      <c r="B46">
        <v>7.2800000000000004E-2</v>
      </c>
      <c r="C46" t="e">
        <f>VLOOKUP(A46,Links!$C$2:$H$10,6,FALSE)</f>
        <v>#N/A</v>
      </c>
      <c r="D46" s="22" t="e">
        <f t="shared" si="1"/>
        <v>#N/A</v>
      </c>
    </row>
    <row r="47" spans="1:5" x14ac:dyDescent="0.2">
      <c r="A47" t="s">
        <v>59</v>
      </c>
      <c r="B47">
        <v>7.2800000000000004E-2</v>
      </c>
      <c r="C47" t="e">
        <f>VLOOKUP(A47,Links!$C$2:$H$10,6,FALSE)</f>
        <v>#N/A</v>
      </c>
      <c r="D47" s="22" t="e">
        <f t="shared" si="1"/>
        <v>#N/A</v>
      </c>
    </row>
    <row r="48" spans="1:5" x14ac:dyDescent="0.2">
      <c r="A48" t="s">
        <v>56</v>
      </c>
      <c r="B48">
        <v>7.2800000000000004E-2</v>
      </c>
      <c r="C48" t="e">
        <f>VLOOKUP(A48,Links!$C$2:$H$10,6,FALSE)</f>
        <v>#N/A</v>
      </c>
      <c r="D48" s="22" t="e">
        <f t="shared" si="1"/>
        <v>#N/A</v>
      </c>
    </row>
    <row r="49" spans="1:4" x14ac:dyDescent="0.2">
      <c r="A49" t="s">
        <v>55</v>
      </c>
      <c r="B49">
        <v>7.2800000000000004E-2</v>
      </c>
      <c r="C49" t="e">
        <f>VLOOKUP(A49,Links!$C$2:$H$10,6,FALSE)</f>
        <v>#N/A</v>
      </c>
      <c r="D49" s="22" t="e">
        <f t="shared" si="1"/>
        <v>#N/A</v>
      </c>
    </row>
    <row r="50" spans="1:4" x14ac:dyDescent="0.2">
      <c r="A50" t="s">
        <v>46</v>
      </c>
      <c r="B50">
        <v>7.2800000000000004E-2</v>
      </c>
      <c r="C50" t="e">
        <f>VLOOKUP(A50,Links!$C$2:$H$10,6,FALSE)</f>
        <v>#N/A</v>
      </c>
      <c r="D50" s="22" t="e">
        <f t="shared" si="1"/>
        <v>#N/A</v>
      </c>
    </row>
    <row r="51" spans="1:4" x14ac:dyDescent="0.2">
      <c r="A51" t="s">
        <v>39</v>
      </c>
      <c r="B51">
        <v>7.2800000000000004E-2</v>
      </c>
      <c r="C51" t="e">
        <f>VLOOKUP(A51,Links!$C$2:$H$10,6,FALSE)</f>
        <v>#N/A</v>
      </c>
      <c r="D51" s="22" t="e">
        <f t="shared" si="1"/>
        <v>#N/A</v>
      </c>
    </row>
    <row r="52" spans="1:4" x14ac:dyDescent="0.2">
      <c r="A52" t="s">
        <v>65</v>
      </c>
      <c r="B52">
        <v>7.2800000000000004E-2</v>
      </c>
      <c r="C52" t="e">
        <f>VLOOKUP(A52,Links!$C$2:$H$10,6,FALSE)</f>
        <v>#N/A</v>
      </c>
      <c r="D52" s="22" t="e">
        <f t="shared" si="1"/>
        <v>#N/A</v>
      </c>
    </row>
    <row r="53" spans="1:4" x14ac:dyDescent="0.2">
      <c r="A53" t="s">
        <v>70</v>
      </c>
      <c r="B53">
        <v>7.2800000000000004E-2</v>
      </c>
      <c r="C53" t="e">
        <f>VLOOKUP(A53,Links!$C$2:$H$10,6,FALSE)</f>
        <v>#N/A</v>
      </c>
      <c r="D53" s="22" t="e">
        <f t="shared" si="1"/>
        <v>#N/A</v>
      </c>
    </row>
    <row r="54" spans="1:4" x14ac:dyDescent="0.2">
      <c r="A54" t="s">
        <v>71</v>
      </c>
      <c r="B54">
        <v>7.2800000000000004E-2</v>
      </c>
      <c r="C54" t="e">
        <f>VLOOKUP(A54,Links!$C$2:$H$10,6,FALSE)</f>
        <v>#N/A</v>
      </c>
      <c r="D54" s="22" t="e">
        <f t="shared" si="1"/>
        <v>#N/A</v>
      </c>
    </row>
    <row r="55" spans="1:4" x14ac:dyDescent="0.2">
      <c r="A55" s="18" t="s">
        <v>69</v>
      </c>
      <c r="C55" t="e">
        <f>VLOOKUP(A55,Links!$C$2:$H$10,6,FALSE)</f>
        <v>#N/A</v>
      </c>
      <c r="D55" s="21" t="e">
        <f t="shared" si="1"/>
        <v>#N/A</v>
      </c>
    </row>
    <row r="56" spans="1:4" x14ac:dyDescent="0.2">
      <c r="A56" t="s">
        <v>74</v>
      </c>
      <c r="B56">
        <v>7.2800000000000004E-2</v>
      </c>
      <c r="C56" t="e">
        <f>VLOOKUP(A56,Links!$C$2:$H$10,6,FALSE)</f>
        <v>#N/A</v>
      </c>
      <c r="D56" s="21" t="e">
        <f t="shared" si="1"/>
        <v>#N/A</v>
      </c>
    </row>
    <row r="57" spans="1:4" x14ac:dyDescent="0.2">
      <c r="A57" t="s">
        <v>44</v>
      </c>
      <c r="B57">
        <v>7.2800000000000004E-2</v>
      </c>
      <c r="C57" t="e">
        <f>VLOOKUP(A57,Links!$C$2:$H$10,6,FALSE)</f>
        <v>#N/A</v>
      </c>
      <c r="D57" s="21" t="e">
        <f t="shared" si="1"/>
        <v>#N/A</v>
      </c>
    </row>
    <row r="58" spans="1:4" x14ac:dyDescent="0.2">
      <c r="A58" t="s">
        <v>40</v>
      </c>
      <c r="B58">
        <v>7.2800000000000004E-2</v>
      </c>
      <c r="C58" t="e">
        <f>VLOOKUP(A58,Links!$C$2:$H$10,6,FALSE)</f>
        <v>#N/A</v>
      </c>
      <c r="D58" s="21" t="e">
        <f t="shared" si="1"/>
        <v>#N/A</v>
      </c>
    </row>
    <row r="59" spans="1:4" x14ac:dyDescent="0.2">
      <c r="A59" t="s">
        <v>37</v>
      </c>
      <c r="B59">
        <v>7.2800000000000004E-2</v>
      </c>
      <c r="C59" t="e">
        <f>VLOOKUP(A59,Links!$C$2:$H$10,6,FALSE)</f>
        <v>#N/A</v>
      </c>
      <c r="D59" s="21" t="e">
        <f t="shared" si="1"/>
        <v>#N/A</v>
      </c>
    </row>
    <row r="60" spans="1:4" x14ac:dyDescent="0.2">
      <c r="A60" s="18" t="s">
        <v>43</v>
      </c>
      <c r="C60" t="e">
        <f>VLOOKUP(A60,Links!$C$2:$H$10,6,FALSE)</f>
        <v>#N/A</v>
      </c>
      <c r="D60" s="21" t="e">
        <f t="shared" si="1"/>
        <v>#N/A</v>
      </c>
    </row>
    <row r="61" spans="1:4" x14ac:dyDescent="0.2">
      <c r="A61" t="s">
        <v>75</v>
      </c>
      <c r="B61">
        <v>7.0300000000000001E-2</v>
      </c>
      <c r="C61" t="e">
        <f>VLOOKUP(A61,Links!$C$2:$H$10,6,FALSE)</f>
        <v>#N/A</v>
      </c>
      <c r="D61" s="21" t="e">
        <f t="shared" si="1"/>
        <v>#N/A</v>
      </c>
    </row>
    <row r="62" spans="1:4" x14ac:dyDescent="0.2">
      <c r="A62" t="s">
        <v>131</v>
      </c>
      <c r="C62" t="e">
        <f>VLOOKUP(A62,Links!$C$2:$H$10,6,FALSE)</f>
        <v>#N/A</v>
      </c>
      <c r="D62" s="21" t="e">
        <f t="shared" si="1"/>
        <v>#N/A</v>
      </c>
    </row>
    <row r="63" spans="1:4" x14ac:dyDescent="0.2">
      <c r="C63" t="e">
        <f>VLOOKUP(A63,Links!$C$2:$H$10,6,FALSE)</f>
        <v>#N/A</v>
      </c>
      <c r="D63" s="21" t="e">
        <f t="shared" si="1"/>
        <v>#N/A</v>
      </c>
    </row>
    <row r="64" spans="1:4" x14ac:dyDescent="0.2">
      <c r="A64" t="s">
        <v>78</v>
      </c>
      <c r="B64">
        <v>0.107</v>
      </c>
      <c r="C64" t="e">
        <f>VLOOKUP(A64,Links!$C$2:$H$10,6,FALSE)</f>
        <v>#N/A</v>
      </c>
      <c r="D64" s="21" t="e">
        <f t="shared" si="1"/>
        <v>#N/A</v>
      </c>
    </row>
    <row r="65" spans="1:5" x14ac:dyDescent="0.2">
      <c r="A65" t="s">
        <v>16</v>
      </c>
      <c r="B65">
        <v>0.442</v>
      </c>
      <c r="C65" t="e">
        <f>VLOOKUP(A65,Links!$C$2:$H$10,6,FALSE)</f>
        <v>#N/A</v>
      </c>
      <c r="D65" s="21" t="e">
        <f t="shared" si="1"/>
        <v>#N/A</v>
      </c>
    </row>
    <row r="66" spans="1:5" x14ac:dyDescent="0.2">
      <c r="A66" t="s">
        <v>76</v>
      </c>
      <c r="B66">
        <v>0.442</v>
      </c>
      <c r="C66" t="e">
        <f>VLOOKUP(A66,Links!$C$2:$H$10,6,FALSE)</f>
        <v>#N/A</v>
      </c>
      <c r="D66" s="21" t="e">
        <f t="shared" ref="D66:D97" si="2">ABS(C66-1-B66)</f>
        <v>#N/A</v>
      </c>
      <c r="E66" s="17">
        <f>B66+1</f>
        <v>1.4419999999999999</v>
      </c>
    </row>
    <row r="67" spans="1:5" x14ac:dyDescent="0.2">
      <c r="A67" t="s">
        <v>80</v>
      </c>
      <c r="B67">
        <v>0.107</v>
      </c>
      <c r="C67" t="e">
        <f>VLOOKUP(A67,Links!$C$2:$H$10,6,FALSE)</f>
        <v>#N/A</v>
      </c>
      <c r="D67" s="21" t="e">
        <f t="shared" si="2"/>
        <v>#N/A</v>
      </c>
    </row>
    <row r="68" spans="1:5" x14ac:dyDescent="0.2">
      <c r="A68" t="s">
        <v>81</v>
      </c>
      <c r="B68">
        <v>0.107</v>
      </c>
      <c r="C68" t="e">
        <f>VLOOKUP(A68,Links!$C$2:$H$10,6,FALSE)</f>
        <v>#N/A</v>
      </c>
      <c r="D68" s="21" t="e">
        <f t="shared" si="2"/>
        <v>#N/A</v>
      </c>
    </row>
    <row r="69" spans="1:5" x14ac:dyDescent="0.2">
      <c r="A69" t="s">
        <v>25</v>
      </c>
      <c r="B69">
        <v>0.48409999999999997</v>
      </c>
      <c r="C69" t="e">
        <f>VLOOKUP(A69,Links!$C$2:$H$10,6,FALSE)</f>
        <v>#N/A</v>
      </c>
      <c r="D69" s="21" t="e">
        <f t="shared" si="2"/>
        <v>#N/A</v>
      </c>
      <c r="E69" s="17">
        <f>B69+1</f>
        <v>1.4841</v>
      </c>
    </row>
    <row r="70" spans="1:5" x14ac:dyDescent="0.2">
      <c r="A70" t="s">
        <v>79</v>
      </c>
      <c r="B70">
        <v>0.12770000000000001</v>
      </c>
      <c r="C70" t="e">
        <f>VLOOKUP(A70,Links!$C$2:$H$10,6,FALSE)</f>
        <v>#N/A</v>
      </c>
      <c r="D70" s="21" t="e">
        <f t="shared" si="2"/>
        <v>#N/A</v>
      </c>
      <c r="E70" s="17">
        <f>B70+1</f>
        <v>1.1276999999999999</v>
      </c>
    </row>
    <row r="71" spans="1:5" x14ac:dyDescent="0.2">
      <c r="A71" t="s">
        <v>26</v>
      </c>
      <c r="B71">
        <v>0.107</v>
      </c>
      <c r="C71" t="e">
        <f>VLOOKUP(A71,Links!$C$2:$H$10,6,FALSE)</f>
        <v>#N/A</v>
      </c>
      <c r="D71" s="21" t="e">
        <f t="shared" si="2"/>
        <v>#N/A</v>
      </c>
    </row>
    <row r="72" spans="1:5" x14ac:dyDescent="0.2">
      <c r="A72" t="s">
        <v>23</v>
      </c>
      <c r="B72">
        <v>0.107</v>
      </c>
      <c r="C72" t="e">
        <f>VLOOKUP(A72,Links!$C$2:$H$10,6,FALSE)</f>
        <v>#N/A</v>
      </c>
      <c r="D72" s="21" t="e">
        <f t="shared" si="2"/>
        <v>#N/A</v>
      </c>
    </row>
    <row r="73" spans="1:5" x14ac:dyDescent="0.2">
      <c r="A73" t="s">
        <v>82</v>
      </c>
      <c r="B73">
        <v>0.107</v>
      </c>
      <c r="C73" t="e">
        <f>VLOOKUP(A73,Links!$C$2:$H$10,6,FALSE)</f>
        <v>#N/A</v>
      </c>
      <c r="D73" s="21" t="e">
        <f t="shared" si="2"/>
        <v>#N/A</v>
      </c>
      <c r="E73" s="17">
        <f>B73+1</f>
        <v>1.107</v>
      </c>
    </row>
    <row r="74" spans="1:5" x14ac:dyDescent="0.2">
      <c r="A74" t="s">
        <v>77</v>
      </c>
      <c r="B74">
        <v>0.107</v>
      </c>
      <c r="C74" t="e">
        <f>VLOOKUP(A74,Links!$C$2:$H$10,6,FALSE)</f>
        <v>#N/A</v>
      </c>
      <c r="D74" s="21" t="e">
        <f t="shared" si="2"/>
        <v>#N/A</v>
      </c>
      <c r="E74" s="17">
        <f>B74+1</f>
        <v>1.107</v>
      </c>
    </row>
    <row r="75" spans="1:5" x14ac:dyDescent="0.2">
      <c r="A75" t="s">
        <v>28</v>
      </c>
      <c r="B75">
        <v>0.107</v>
      </c>
      <c r="C75" t="e">
        <f>VLOOKUP(A75,Links!$C$2:$H$10,6,FALSE)</f>
        <v>#N/A</v>
      </c>
      <c r="D75" s="21" t="e">
        <f t="shared" si="2"/>
        <v>#N/A</v>
      </c>
    </row>
    <row r="76" spans="1:5" x14ac:dyDescent="0.2">
      <c r="A76" t="s">
        <v>83</v>
      </c>
      <c r="B76">
        <v>0.107</v>
      </c>
      <c r="C76" t="e">
        <f>VLOOKUP(A76,Links!$C$2:$H$10,6,FALSE)</f>
        <v>#N/A</v>
      </c>
      <c r="D76" s="21" t="e">
        <f t="shared" si="2"/>
        <v>#N/A</v>
      </c>
      <c r="E76" s="17">
        <f>B76+1</f>
        <v>1.107</v>
      </c>
    </row>
    <row r="77" spans="1:5" x14ac:dyDescent="0.2">
      <c r="A77" t="s">
        <v>85</v>
      </c>
      <c r="B77">
        <v>0.107</v>
      </c>
      <c r="C77" t="e">
        <f>VLOOKUP(A77,Links!$C$2:$H$10,6,FALSE)</f>
        <v>#N/A</v>
      </c>
      <c r="D77" s="21" t="e">
        <f t="shared" si="2"/>
        <v>#N/A</v>
      </c>
    </row>
    <row r="78" spans="1:5" x14ac:dyDescent="0.2">
      <c r="A78" t="s">
        <v>84</v>
      </c>
      <c r="B78">
        <v>0.107</v>
      </c>
      <c r="C78" t="e">
        <f>VLOOKUP(A78,Links!$C$2:$H$10,6,FALSE)</f>
        <v>#N/A</v>
      </c>
      <c r="D78" s="21" t="e">
        <f t="shared" si="2"/>
        <v>#N/A</v>
      </c>
    </row>
    <row r="79" spans="1:5" x14ac:dyDescent="0.2">
      <c r="C79" t="e">
        <f>VLOOKUP(A79,Links!$C$2:$H$10,6,FALSE)</f>
        <v>#N/A</v>
      </c>
      <c r="D79" s="21" t="e">
        <f t="shared" si="2"/>
        <v>#N/A</v>
      </c>
    </row>
    <row r="80" spans="1:5" x14ac:dyDescent="0.2">
      <c r="A80" t="s">
        <v>16</v>
      </c>
      <c r="B80">
        <v>0.442</v>
      </c>
      <c r="C80" t="e">
        <f>VLOOKUP(A80,Links!$C$2:$H$10,6,FALSE)</f>
        <v>#N/A</v>
      </c>
      <c r="D80" s="21" t="e">
        <f t="shared" si="2"/>
        <v>#N/A</v>
      </c>
    </row>
    <row r="81" spans="1:5" x14ac:dyDescent="0.2">
      <c r="A81" t="s">
        <v>76</v>
      </c>
      <c r="B81">
        <v>0.442</v>
      </c>
      <c r="C81" t="e">
        <f>VLOOKUP(A81,Links!$C$2:$H$10,6,FALSE)</f>
        <v>#N/A</v>
      </c>
      <c r="D81" s="21" t="e">
        <f t="shared" si="2"/>
        <v>#N/A</v>
      </c>
      <c r="E81" s="17">
        <f>B81+1</f>
        <v>1.4419999999999999</v>
      </c>
    </row>
    <row r="82" spans="1:5" x14ac:dyDescent="0.2">
      <c r="A82" t="s">
        <v>86</v>
      </c>
      <c r="B82">
        <v>0.38979999999999998</v>
      </c>
      <c r="C82" t="e">
        <f>VLOOKUP(A82,Links!$C$2:$H$10,6,FALSE)</f>
        <v>#N/A</v>
      </c>
      <c r="D82" s="21" t="e">
        <f t="shared" si="2"/>
        <v>#N/A</v>
      </c>
      <c r="E82" s="17">
        <f>B82+1</f>
        <v>1.3897999999999999</v>
      </c>
    </row>
    <row r="83" spans="1:5" x14ac:dyDescent="0.2">
      <c r="A83" t="s">
        <v>80</v>
      </c>
      <c r="B83">
        <v>0.107</v>
      </c>
      <c r="C83" t="e">
        <f>VLOOKUP(A83,Links!$C$2:$H$10,6,FALSE)</f>
        <v>#N/A</v>
      </c>
      <c r="D83" s="21" t="e">
        <f t="shared" si="2"/>
        <v>#N/A</v>
      </c>
    </row>
    <row r="84" spans="1:5" x14ac:dyDescent="0.2">
      <c r="A84" t="s">
        <v>88</v>
      </c>
      <c r="B84">
        <v>0.107</v>
      </c>
      <c r="C84" t="e">
        <f>VLOOKUP(A84,Links!$C$2:$H$10,6,FALSE)</f>
        <v>#N/A</v>
      </c>
      <c r="D84" s="21" t="e">
        <f t="shared" si="2"/>
        <v>#N/A</v>
      </c>
      <c r="E84" s="17">
        <f>B84+1</f>
        <v>1.107</v>
      </c>
    </row>
    <row r="85" spans="1:5" x14ac:dyDescent="0.2">
      <c r="A85" t="s">
        <v>23</v>
      </c>
      <c r="B85">
        <v>0.107</v>
      </c>
      <c r="C85" t="e">
        <f>VLOOKUP(A85,Links!$C$2:$H$10,6,FALSE)</f>
        <v>#N/A</v>
      </c>
      <c r="D85" s="21" t="e">
        <f t="shared" si="2"/>
        <v>#N/A</v>
      </c>
    </row>
    <row r="86" spans="1:5" x14ac:dyDescent="0.2">
      <c r="A86" t="s">
        <v>87</v>
      </c>
      <c r="B86">
        <v>0.107</v>
      </c>
      <c r="C86" t="e">
        <f>VLOOKUP(A86,Links!$C$2:$H$10,6,FALSE)</f>
        <v>#N/A</v>
      </c>
      <c r="D86" s="21" t="e">
        <f t="shared" si="2"/>
        <v>#N/A</v>
      </c>
    </row>
    <row r="87" spans="1:5" x14ac:dyDescent="0.2">
      <c r="A87" t="s">
        <v>81</v>
      </c>
      <c r="B87">
        <v>0.107</v>
      </c>
      <c r="C87" t="e">
        <f>VLOOKUP(A87,Links!$C$2:$H$10,6,FALSE)</f>
        <v>#N/A</v>
      </c>
      <c r="D87" s="21" t="e">
        <f t="shared" si="2"/>
        <v>#N/A</v>
      </c>
    </row>
    <row r="88" spans="1:5" x14ac:dyDescent="0.2">
      <c r="A88" t="s">
        <v>85</v>
      </c>
      <c r="B88">
        <v>0.107</v>
      </c>
      <c r="C88" t="e">
        <f>VLOOKUP(A88,Links!$C$2:$H$10,6,FALSE)</f>
        <v>#N/A</v>
      </c>
      <c r="D88" s="21" t="e">
        <f t="shared" si="2"/>
        <v>#N/A</v>
      </c>
    </row>
    <row r="89" spans="1:5" x14ac:dyDescent="0.2">
      <c r="C89" t="e">
        <f>VLOOKUP(A89,Links!$C$2:$H$10,6,FALSE)</f>
        <v>#N/A</v>
      </c>
      <c r="D89" s="21" t="e">
        <f t="shared" si="2"/>
        <v>#N/A</v>
      </c>
    </row>
    <row r="90" spans="1:5" x14ac:dyDescent="0.2">
      <c r="A90" t="s">
        <v>89</v>
      </c>
      <c r="B90">
        <v>7.2800000000000004E-2</v>
      </c>
      <c r="C90" t="e">
        <f>VLOOKUP(A90,Links!$C$2:$H$10,6,FALSE)</f>
        <v>#N/A</v>
      </c>
      <c r="D90" s="21" t="e">
        <f t="shared" si="2"/>
        <v>#N/A</v>
      </c>
    </row>
    <row r="91" spans="1:5" x14ac:dyDescent="0.2">
      <c r="C91" t="e">
        <f>VLOOKUP(A91,Links!$C$2:$H$10,6,FALSE)</f>
        <v>#N/A</v>
      </c>
      <c r="D91" s="21" t="e">
        <f t="shared" si="2"/>
        <v>#N/A</v>
      </c>
    </row>
    <row r="92" spans="1:5" x14ac:dyDescent="0.2">
      <c r="A92" t="s">
        <v>16</v>
      </c>
      <c r="B92">
        <v>0.442</v>
      </c>
      <c r="C92" t="e">
        <f>VLOOKUP(A92,Links!$C$2:$H$10,6,FALSE)</f>
        <v>#N/A</v>
      </c>
      <c r="D92" s="21" t="e">
        <f t="shared" si="2"/>
        <v>#N/A</v>
      </c>
    </row>
    <row r="93" spans="1:5" x14ac:dyDescent="0.2">
      <c r="A93" t="s">
        <v>19</v>
      </c>
      <c r="B93">
        <v>0.107</v>
      </c>
      <c r="C93" t="e">
        <f>VLOOKUP(A93,Links!$C$2:$H$10,6,FALSE)</f>
        <v>#N/A</v>
      </c>
      <c r="D93" s="21" t="e">
        <f t="shared" si="2"/>
        <v>#N/A</v>
      </c>
    </row>
    <row r="94" spans="1:5" x14ac:dyDescent="0.2">
      <c r="A94" t="s">
        <v>90</v>
      </c>
      <c r="B94">
        <v>0.38979999999999998</v>
      </c>
      <c r="C94" t="e">
        <f>VLOOKUP(A94,Links!$C$2:$H$10,6,FALSE)</f>
        <v>#N/A</v>
      </c>
      <c r="D94" s="21" t="e">
        <f t="shared" si="2"/>
        <v>#N/A</v>
      </c>
    </row>
    <row r="95" spans="1:5" x14ac:dyDescent="0.2">
      <c r="A95" t="s">
        <v>92</v>
      </c>
      <c r="B95">
        <v>0.107</v>
      </c>
      <c r="C95" t="e">
        <f>VLOOKUP(A95,Links!$C$2:$H$10,6,FALSE)</f>
        <v>#N/A</v>
      </c>
      <c r="D95" s="21" t="e">
        <f t="shared" si="2"/>
        <v>#N/A</v>
      </c>
    </row>
    <row r="96" spans="1:5" x14ac:dyDescent="0.2">
      <c r="A96" t="s">
        <v>91</v>
      </c>
      <c r="B96">
        <v>7.2800000000000004E-2</v>
      </c>
      <c r="C96" t="e">
        <f>VLOOKUP(A96,Links!$C$2:$H$10,6,FALSE)</f>
        <v>#N/A</v>
      </c>
      <c r="D96" s="21" t="e">
        <f t="shared" si="2"/>
        <v>#N/A</v>
      </c>
    </row>
    <row r="97" spans="1:5" x14ac:dyDescent="0.2">
      <c r="A97" t="s">
        <v>23</v>
      </c>
      <c r="B97">
        <v>0.107</v>
      </c>
      <c r="C97" t="e">
        <f>VLOOKUP(A97,Links!$C$2:$H$10,6,FALSE)</f>
        <v>#N/A</v>
      </c>
      <c r="D97" s="21" t="e">
        <f t="shared" si="2"/>
        <v>#N/A</v>
      </c>
    </row>
    <row r="98" spans="1:5" x14ac:dyDescent="0.2">
      <c r="C98" t="e">
        <f>VLOOKUP(A98,Links!$C$2:$H$10,6,FALSE)</f>
        <v>#N/A</v>
      </c>
      <c r="D98" s="21" t="e">
        <f t="shared" ref="D98:D129" si="3">ABS(C98-1-B98)</f>
        <v>#N/A</v>
      </c>
    </row>
    <row r="99" spans="1:5" x14ac:dyDescent="0.2">
      <c r="A99" t="s">
        <v>93</v>
      </c>
      <c r="B99">
        <v>0.38979999999999998</v>
      </c>
      <c r="C99" t="e">
        <f>VLOOKUP(A99,Links!$C$2:$H$10,6,FALSE)</f>
        <v>#N/A</v>
      </c>
      <c r="D99" s="21" t="e">
        <f t="shared" si="3"/>
        <v>#N/A</v>
      </c>
      <c r="E99" s="17">
        <f>B99+1</f>
        <v>1.3897999999999999</v>
      </c>
    </row>
    <row r="100" spans="1:5" x14ac:dyDescent="0.2">
      <c r="A100" t="s">
        <v>94</v>
      </c>
      <c r="B100">
        <v>0.107</v>
      </c>
      <c r="C100" t="e">
        <f>VLOOKUP(A100,Links!$C$2:$H$10,6,FALSE)</f>
        <v>#N/A</v>
      </c>
      <c r="D100" s="21" t="e">
        <f t="shared" si="3"/>
        <v>#N/A</v>
      </c>
    </row>
    <row r="101" spans="1:5" x14ac:dyDescent="0.2">
      <c r="A101" t="s">
        <v>95</v>
      </c>
      <c r="B101">
        <v>0.107</v>
      </c>
      <c r="C101" t="e">
        <f>VLOOKUP(A101,Links!$C$2:$H$10,6,FALSE)</f>
        <v>#N/A</v>
      </c>
      <c r="D101" s="21" t="e">
        <f t="shared" si="3"/>
        <v>#N/A</v>
      </c>
    </row>
    <row r="102" spans="1:5" x14ac:dyDescent="0.2">
      <c r="C102" t="e">
        <f>VLOOKUP(A102,Links!$C$2:$H$10,6,FALSE)</f>
        <v>#N/A</v>
      </c>
      <c r="D102" s="21" t="e">
        <f t="shared" si="3"/>
        <v>#N/A</v>
      </c>
    </row>
    <row r="103" spans="1:5" x14ac:dyDescent="0.2">
      <c r="A103" t="s">
        <v>96</v>
      </c>
      <c r="B103">
        <v>0.1019</v>
      </c>
      <c r="C103">
        <f>VLOOKUP(A103,Links!$C$2:$H$10,6,FALSE)</f>
        <v>1.2</v>
      </c>
      <c r="D103" s="21">
        <f t="shared" si="3"/>
        <v>9.8099999999999951E-2</v>
      </c>
      <c r="E103" s="17">
        <f>B103+1</f>
        <v>1.1019000000000001</v>
      </c>
    </row>
    <row r="104" spans="1:5" x14ac:dyDescent="0.2">
      <c r="A104" t="s">
        <v>97</v>
      </c>
      <c r="B104">
        <v>0.12770000000000001</v>
      </c>
      <c r="C104" t="e">
        <f>VLOOKUP(A104,Links!$C$2:$H$10,6,FALSE)</f>
        <v>#N/A</v>
      </c>
      <c r="D104" s="21" t="e">
        <f t="shared" si="3"/>
        <v>#N/A</v>
      </c>
    </row>
    <row r="105" spans="1:5" x14ac:dyDescent="0.2">
      <c r="C105" t="e">
        <f>VLOOKUP(A105,Links!$C$2:$H$10,6,FALSE)</f>
        <v>#N/A</v>
      </c>
      <c r="D105" s="21" t="e">
        <f t="shared" si="3"/>
        <v>#N/A</v>
      </c>
    </row>
    <row r="106" spans="1:5" x14ac:dyDescent="0.2">
      <c r="A106" t="s">
        <v>100</v>
      </c>
      <c r="B106">
        <v>7.2800000000000004E-2</v>
      </c>
      <c r="C106" t="e">
        <f>VLOOKUP(A106,Links!$C$2:$H$10,6,FALSE)</f>
        <v>#N/A</v>
      </c>
      <c r="D106" s="21" t="e">
        <f t="shared" si="3"/>
        <v>#N/A</v>
      </c>
    </row>
    <row r="107" spans="1:5" x14ac:dyDescent="0.2">
      <c r="A107" t="s">
        <v>98</v>
      </c>
      <c r="B107">
        <v>7.2800000000000004E-2</v>
      </c>
      <c r="C107" t="e">
        <f>VLOOKUP(A107,Links!$C$2:$H$10,6,FALSE)</f>
        <v>#N/A</v>
      </c>
      <c r="D107" s="21" t="e">
        <f t="shared" si="3"/>
        <v>#N/A</v>
      </c>
    </row>
    <row r="108" spans="1:5" x14ac:dyDescent="0.2">
      <c r="A108" t="s">
        <v>99</v>
      </c>
      <c r="B108">
        <v>7.2800000000000004E-2</v>
      </c>
      <c r="C108" t="e">
        <f>VLOOKUP(A108,Links!$C$2:$H$10,6,FALSE)</f>
        <v>#N/A</v>
      </c>
      <c r="D108" s="21" t="e">
        <f t="shared" si="3"/>
        <v>#N/A</v>
      </c>
    </row>
    <row r="109" spans="1:5" x14ac:dyDescent="0.2">
      <c r="C109" t="e">
        <f>VLOOKUP(A109,Links!$C$2:$H$10,6,FALSE)</f>
        <v>#N/A</v>
      </c>
      <c r="D109" s="21" t="e">
        <f t="shared" si="3"/>
        <v>#N/A</v>
      </c>
    </row>
    <row r="110" spans="1:5" x14ac:dyDescent="0.2">
      <c r="A110" t="s">
        <v>102</v>
      </c>
      <c r="B110">
        <v>7.2800000000000004E-2</v>
      </c>
      <c r="C110" t="e">
        <f>VLOOKUP(A110,Links!$C$2:$H$10,6,FALSE)</f>
        <v>#N/A</v>
      </c>
      <c r="D110" s="21" t="e">
        <f t="shared" si="3"/>
        <v>#N/A</v>
      </c>
    </row>
    <row r="111" spans="1:5" x14ac:dyDescent="0.2">
      <c r="A111" t="s">
        <v>105</v>
      </c>
      <c r="B111">
        <v>7.2800000000000004E-2</v>
      </c>
      <c r="C111" t="e">
        <f>VLOOKUP(A111,Links!$C$2:$H$10,6,FALSE)</f>
        <v>#N/A</v>
      </c>
      <c r="D111" s="21" t="e">
        <f t="shared" si="3"/>
        <v>#N/A</v>
      </c>
    </row>
    <row r="112" spans="1:5" x14ac:dyDescent="0.2">
      <c r="A112" t="s">
        <v>104</v>
      </c>
      <c r="B112">
        <v>7.2800000000000004E-2</v>
      </c>
      <c r="C112" t="e">
        <f>VLOOKUP(A112,Links!$C$2:$H$10,6,FALSE)</f>
        <v>#N/A</v>
      </c>
      <c r="D112" s="21" t="e">
        <f t="shared" si="3"/>
        <v>#N/A</v>
      </c>
    </row>
    <row r="113" spans="1:5" x14ac:dyDescent="0.2">
      <c r="A113" t="s">
        <v>107</v>
      </c>
      <c r="B113">
        <v>7.2800000000000004E-2</v>
      </c>
      <c r="C113" t="e">
        <f>VLOOKUP(A113,Links!$C$2:$H$10,6,FALSE)</f>
        <v>#N/A</v>
      </c>
      <c r="D113" s="21" t="e">
        <f t="shared" si="3"/>
        <v>#N/A</v>
      </c>
    </row>
    <row r="114" spans="1:5" x14ac:dyDescent="0.2">
      <c r="A114" t="s">
        <v>103</v>
      </c>
      <c r="B114">
        <v>7.2800000000000004E-2</v>
      </c>
      <c r="C114" t="e">
        <f>VLOOKUP(A114,Links!$C$2:$H$10,6,FALSE)</f>
        <v>#N/A</v>
      </c>
      <c r="D114" s="21" t="e">
        <f t="shared" si="3"/>
        <v>#N/A</v>
      </c>
    </row>
    <row r="115" spans="1:5" x14ac:dyDescent="0.2">
      <c r="A115" t="s">
        <v>106</v>
      </c>
      <c r="B115">
        <v>7.2800000000000004E-2</v>
      </c>
      <c r="C115" t="e">
        <f>VLOOKUP(A115,Links!$C$2:$H$10,6,FALSE)</f>
        <v>#N/A</v>
      </c>
      <c r="D115" s="21" t="e">
        <f t="shared" si="3"/>
        <v>#N/A</v>
      </c>
    </row>
    <row r="116" spans="1:5" x14ac:dyDescent="0.2">
      <c r="A116" t="s">
        <v>109</v>
      </c>
      <c r="B116">
        <v>7.2800000000000004E-2</v>
      </c>
      <c r="C116" t="e">
        <f>VLOOKUP(A116,Links!$C$2:$H$10,6,FALSE)</f>
        <v>#N/A</v>
      </c>
      <c r="D116" s="21" t="e">
        <f t="shared" si="3"/>
        <v>#N/A</v>
      </c>
    </row>
    <row r="117" spans="1:5" x14ac:dyDescent="0.2">
      <c r="A117" t="s">
        <v>101</v>
      </c>
      <c r="B117">
        <v>7.2800000000000004E-2</v>
      </c>
      <c r="C117" t="e">
        <f>VLOOKUP(A117,Links!$C$2:$H$10,6,FALSE)</f>
        <v>#N/A</v>
      </c>
      <c r="D117" s="21" t="e">
        <f t="shared" si="3"/>
        <v>#N/A</v>
      </c>
    </row>
    <row r="118" spans="1:5" x14ac:dyDescent="0.2">
      <c r="A118" t="s">
        <v>108</v>
      </c>
      <c r="B118">
        <v>7.2800000000000004E-2</v>
      </c>
      <c r="C118" t="e">
        <f>VLOOKUP(A118,Links!$C$2:$H$10,6,FALSE)</f>
        <v>#N/A</v>
      </c>
      <c r="D118" s="21" t="e">
        <f t="shared" si="3"/>
        <v>#N/A</v>
      </c>
    </row>
    <row r="119" spans="1:5" x14ac:dyDescent="0.2">
      <c r="C119" t="e">
        <f>VLOOKUP(A119,Links!$C$2:$H$10,6,FALSE)</f>
        <v>#N/A</v>
      </c>
      <c r="D119" s="21" t="e">
        <f t="shared" si="3"/>
        <v>#N/A</v>
      </c>
    </row>
    <row r="120" spans="1:5" x14ac:dyDescent="0.2">
      <c r="A120" t="s">
        <v>110</v>
      </c>
      <c r="B120">
        <v>0.1019</v>
      </c>
      <c r="C120" t="e">
        <f>VLOOKUP(A120,Links!$C$2:$H$10,6,FALSE)</f>
        <v>#N/A</v>
      </c>
      <c r="D120" s="21" t="e">
        <f t="shared" si="3"/>
        <v>#N/A</v>
      </c>
      <c r="E120">
        <f>B120+1</f>
        <v>1.1019000000000001</v>
      </c>
    </row>
    <row r="121" spans="1:5" x14ac:dyDescent="0.2">
      <c r="A121" t="s">
        <v>111</v>
      </c>
      <c r="B121">
        <v>7.0300000000000001E-2</v>
      </c>
      <c r="C121" t="e">
        <f>VLOOKUP(A121,Links!$C$2:$H$10,6,FALSE)</f>
        <v>#N/A</v>
      </c>
      <c r="D121" s="21" t="e">
        <f t="shared" si="3"/>
        <v>#N/A</v>
      </c>
    </row>
    <row r="122" spans="1:5" x14ac:dyDescent="0.2">
      <c r="A122" t="s">
        <v>112</v>
      </c>
      <c r="B122">
        <v>0.1019</v>
      </c>
      <c r="C122" t="e">
        <f>VLOOKUP(A122,Links!$C$2:$H$10,6,FALSE)</f>
        <v>#N/A</v>
      </c>
      <c r="D122" s="21" t="e">
        <f t="shared" si="3"/>
        <v>#N/A</v>
      </c>
      <c r="E122">
        <f>B122+1</f>
        <v>1.1019000000000001</v>
      </c>
    </row>
    <row r="123" spans="1:5" x14ac:dyDescent="0.2">
      <c r="A123" t="s">
        <v>113</v>
      </c>
      <c r="B123">
        <v>6.7900000000000002E-2</v>
      </c>
      <c r="C123" t="e">
        <f>VLOOKUP(A123,Links!$C$2:$H$10,6,FALSE)</f>
        <v>#N/A</v>
      </c>
      <c r="D123" s="21" t="e">
        <f t="shared" si="3"/>
        <v>#N/A</v>
      </c>
    </row>
    <row r="124" spans="1:5" x14ac:dyDescent="0.2">
      <c r="A124" t="s">
        <v>114</v>
      </c>
      <c r="B124">
        <v>0.12770000000000001</v>
      </c>
      <c r="C124" t="e">
        <f>VLOOKUP(A124,Links!$C$2:$H$10,6,FALSE)</f>
        <v>#N/A</v>
      </c>
      <c r="D124" s="21" t="e">
        <f t="shared" si="3"/>
        <v>#N/A</v>
      </c>
    </row>
    <row r="125" spans="1:5" x14ac:dyDescent="0.2">
      <c r="A125" t="s">
        <v>115</v>
      </c>
      <c r="B125">
        <v>7.2800000000000004E-2</v>
      </c>
      <c r="C125" t="e">
        <f>VLOOKUP(A125,Links!$C$2:$H$10,6,FALSE)</f>
        <v>#N/A</v>
      </c>
      <c r="D125" s="21" t="e">
        <f t="shared" si="3"/>
        <v>#N/A</v>
      </c>
    </row>
    <row r="126" spans="1:5" x14ac:dyDescent="0.2">
      <c r="A126" t="s">
        <v>116</v>
      </c>
      <c r="B126">
        <v>7.0300000000000001E-2</v>
      </c>
      <c r="C126" t="e">
        <f>VLOOKUP(A126,Links!$C$2:$H$10,6,FALSE)</f>
        <v>#N/A</v>
      </c>
      <c r="D126" s="21" t="e">
        <f t="shared" si="3"/>
        <v>#N/A</v>
      </c>
      <c r="E126">
        <f>B126+1</f>
        <v>1.0703</v>
      </c>
    </row>
    <row r="127" spans="1:5" x14ac:dyDescent="0.2">
      <c r="A127" t="s">
        <v>117</v>
      </c>
      <c r="B127">
        <v>7.2800000000000004E-2</v>
      </c>
      <c r="C127" t="e">
        <f>VLOOKUP(A127,Links!$C$2:$H$10,6,FALSE)</f>
        <v>#N/A</v>
      </c>
      <c r="D127" s="21" t="e">
        <f t="shared" si="3"/>
        <v>#N/A</v>
      </c>
    </row>
    <row r="128" spans="1:5" x14ac:dyDescent="0.2">
      <c r="A128" t="s">
        <v>118</v>
      </c>
      <c r="B128">
        <v>7.2800000000000004E-2</v>
      </c>
      <c r="C128" t="e">
        <f>VLOOKUP(A128,Links!$C$2:$H$10,6,FALSE)</f>
        <v>#N/A</v>
      </c>
      <c r="D128" s="21" t="e">
        <f t="shared" si="3"/>
        <v>#N/A</v>
      </c>
    </row>
    <row r="129" spans="1:4" x14ac:dyDescent="0.2">
      <c r="A129" t="s">
        <v>119</v>
      </c>
      <c r="B129">
        <v>7.2800000000000004E-2</v>
      </c>
      <c r="C129" t="e">
        <f>VLOOKUP(A129,Links!$C$2:$H$10,6,FALSE)</f>
        <v>#N/A</v>
      </c>
      <c r="D129" s="21" t="e">
        <f t="shared" si="3"/>
        <v>#N/A</v>
      </c>
    </row>
    <row r="130" spans="1:4" x14ac:dyDescent="0.2">
      <c r="A130" t="s">
        <v>120</v>
      </c>
      <c r="B130">
        <v>7.2800000000000004E-2</v>
      </c>
      <c r="C130" t="e">
        <f>VLOOKUP(A130,Links!$C$2:$H$10,6,FALSE)</f>
        <v>#N/A</v>
      </c>
      <c r="D130" s="21" t="e">
        <f t="shared" ref="D130:D138" si="4">ABS(C130-1-B130)</f>
        <v>#N/A</v>
      </c>
    </row>
    <row r="131" spans="1:4" x14ac:dyDescent="0.2">
      <c r="C131" t="e">
        <f>VLOOKUP(A131,Links!$C$2:$H$10,6,FALSE)</f>
        <v>#N/A</v>
      </c>
      <c r="D131" s="21" t="e">
        <f t="shared" si="4"/>
        <v>#N/A</v>
      </c>
    </row>
    <row r="132" spans="1:4" x14ac:dyDescent="0.2">
      <c r="A132" t="s">
        <v>121</v>
      </c>
      <c r="B132">
        <v>7.2800000000000004E-2</v>
      </c>
      <c r="C132" t="e">
        <f>VLOOKUP(A132,Links!$C$2:$H$10,6,FALSE)</f>
        <v>#N/A</v>
      </c>
      <c r="D132" s="21" t="e">
        <f t="shared" si="4"/>
        <v>#N/A</v>
      </c>
    </row>
    <row r="133" spans="1:4" x14ac:dyDescent="0.2">
      <c r="A133" t="s">
        <v>122</v>
      </c>
      <c r="B133">
        <v>7.2800000000000004E-2</v>
      </c>
      <c r="C133" t="e">
        <f>VLOOKUP(A133,Links!$C$2:$H$10,6,FALSE)</f>
        <v>#N/A</v>
      </c>
      <c r="D133" s="21" t="e">
        <f t="shared" si="4"/>
        <v>#N/A</v>
      </c>
    </row>
    <row r="134" spans="1:4" x14ac:dyDescent="0.2">
      <c r="A134" t="s">
        <v>123</v>
      </c>
      <c r="B134">
        <v>7.2800000000000004E-2</v>
      </c>
      <c r="C134" t="e">
        <f>VLOOKUP(A134,Links!$C$2:$H$10,6,FALSE)</f>
        <v>#N/A</v>
      </c>
      <c r="D134" s="21" t="e">
        <f t="shared" si="4"/>
        <v>#N/A</v>
      </c>
    </row>
    <row r="135" spans="1:4" x14ac:dyDescent="0.2">
      <c r="A135" t="s">
        <v>124</v>
      </c>
      <c r="B135">
        <v>7.2800000000000004E-2</v>
      </c>
      <c r="C135" t="e">
        <f>VLOOKUP(A135,Links!$C$2:$H$10,6,FALSE)</f>
        <v>#N/A</v>
      </c>
      <c r="D135" s="21" t="e">
        <f t="shared" si="4"/>
        <v>#N/A</v>
      </c>
    </row>
    <row r="136" spans="1:4" x14ac:dyDescent="0.2">
      <c r="C136" t="e">
        <f>VLOOKUP(A136,Links!$C$2:$H$10,6,FALSE)</f>
        <v>#N/A</v>
      </c>
      <c r="D136" s="21" t="e">
        <f t="shared" si="4"/>
        <v>#N/A</v>
      </c>
    </row>
    <row r="137" spans="1:4" x14ac:dyDescent="0.2">
      <c r="A137" t="s">
        <v>125</v>
      </c>
      <c r="B137">
        <v>0.12770000000000001</v>
      </c>
      <c r="C137" t="e">
        <f>VLOOKUP(A137,Links!$C$2:$H$10,6,FALSE)</f>
        <v>#N/A</v>
      </c>
      <c r="D137" s="21" t="e">
        <f t="shared" si="4"/>
        <v>#N/A</v>
      </c>
    </row>
    <row r="138" spans="1:4" x14ac:dyDescent="0.2">
      <c r="A138" t="s">
        <v>126</v>
      </c>
      <c r="B138">
        <v>0.12770000000000001</v>
      </c>
      <c r="C138" t="e">
        <f>VLOOKUP(A138,Links!$C$2:$H$10,6,FALSE)</f>
        <v>#N/A</v>
      </c>
      <c r="D138" s="21" t="e">
        <f t="shared" si="4"/>
        <v>#N/A</v>
      </c>
    </row>
  </sheetData>
  <conditionalFormatting sqref="D2:D138">
    <cfRule type="cellIs" dxfId="0" priority="1" operator="notBetween">
      <formula>0.001</formula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Links</vt:lpstr>
      <vt:lpstr>Alteração Ind Reaj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Meyer Hollerweger, Marcos</cp:lastModifiedBy>
  <dcterms:created xsi:type="dcterms:W3CDTF">2015-06-05T18:19:34Z</dcterms:created>
  <dcterms:modified xsi:type="dcterms:W3CDTF">2020-08-04T22:04:37Z</dcterms:modified>
</cp:coreProperties>
</file>