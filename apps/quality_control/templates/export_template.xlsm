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breno\Downloads\"/>
    </mc:Choice>
  </mc:AlternateContent>
  <xr:revisionPtr revIDLastSave="0" documentId="13_ncr:1_{55B7106D-0ED2-4A2E-B86E-BD90500ACF7E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Planilha1" sheetId="13" state="hidden" r:id="rId1"/>
    <sheet name="ENSAIO" sheetId="8" r:id="rId2"/>
  </sheets>
  <functionGroups builtInGroupCount="19"/>
  <definedNames>
    <definedName name="anscount" hidden="1">1</definedName>
    <definedName name="_xlnm.Print_Area" localSheetId="1">ENSAIO!$A$1:$S$51</definedName>
    <definedName name="Avaliação">ENSAIO!#REF!</definedName>
    <definedName name="Diogo">ENSAIO!#REF!</definedName>
    <definedName name="imagem">INDIRECT(#REF!)</definedName>
    <definedName name="limcount" hidden="1">2</definedName>
    <definedName name="lt">#REF!</definedName>
    <definedName name="Relat_interno">ENSAIO!#REF!</definedName>
    <definedName name="sencount" hidden="1">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3" i="8" l="1"/>
</calcChain>
</file>

<file path=xl/sharedStrings.xml><?xml version="1.0" encoding="utf-8"?>
<sst xmlns="http://schemas.openxmlformats.org/spreadsheetml/2006/main" count="299" uniqueCount="84">
  <si>
    <t>ARTERIS ES 027 - Rev. 18 (maio/2020) - Especificação Particular para Execução de Concreto Asfáltico Usinado a Quente - CA</t>
  </si>
  <si>
    <t>Concessionária:</t>
  </si>
  <si>
    <t>Certificado:</t>
  </si>
  <si>
    <t>Retrabalho?</t>
  </si>
  <si>
    <t>MÉTODOS DE ENSAIO</t>
  </si>
  <si>
    <t>Rodovia:</t>
  </si>
  <si>
    <t>Data da Aplicação:</t>
  </si>
  <si>
    <t>Construtora:</t>
  </si>
  <si>
    <t>Rec. da massa no Lab.:</t>
  </si>
  <si>
    <t>Obra:</t>
  </si>
  <si>
    <t>Nº da OS-Osíris:</t>
  </si>
  <si>
    <t>Local (km / est.):</t>
  </si>
  <si>
    <t>Camada:</t>
  </si>
  <si>
    <t>Local da coleta:</t>
  </si>
  <si>
    <t>Projeto:</t>
  </si>
  <si>
    <t>Pista:</t>
  </si>
  <si>
    <t>Faixa:</t>
  </si>
  <si>
    <t>Usina:</t>
  </si>
  <si>
    <t>DADOS DO PROJETO</t>
  </si>
  <si>
    <t>Teor de CAP</t>
  </si>
  <si>
    <t xml:space="preserve">  Massa Específica Aparente</t>
  </si>
  <si>
    <t xml:space="preserve">     Massa Específica Máxima</t>
  </si>
  <si>
    <t>Massa Específica Efetiva</t>
  </si>
  <si>
    <t>Volume de Vazios</t>
  </si>
  <si>
    <t>VAM</t>
  </si>
  <si>
    <t>VCA</t>
  </si>
  <si>
    <t>Validade</t>
  </si>
  <si>
    <t>Mufla:</t>
  </si>
  <si>
    <t>Ultima Calibração:</t>
  </si>
  <si>
    <t>Densímetro:</t>
  </si>
  <si>
    <t>Balanças:</t>
  </si>
  <si>
    <t>Cert:</t>
  </si>
  <si>
    <t>Certificado Dens.:</t>
  </si>
  <si>
    <t>Peneiras:</t>
  </si>
  <si>
    <t>Certificados:</t>
  </si>
  <si>
    <t>Offset utilizado:</t>
  </si>
  <si>
    <t>RESULTADOS OBTIDOS</t>
  </si>
  <si>
    <t>Peneiras</t>
  </si>
  <si>
    <t>Passante Encontrado (%)</t>
  </si>
  <si>
    <t>Projeto (%)</t>
  </si>
  <si>
    <t>Faixa de Trabalho</t>
  </si>
  <si>
    <t>Avaliação estátistica individual - Densímetro (ARTERIS T-100-REV-3)</t>
  </si>
  <si>
    <t>Lote</t>
  </si>
  <si>
    <t>(ASTM)</t>
  </si>
  <si>
    <t>mm</t>
  </si>
  <si>
    <t>Lim. Inf (%)</t>
  </si>
  <si>
    <t>Lim. Sup (%)</t>
  </si>
  <si>
    <t>Nº Cp</t>
  </si>
  <si>
    <t>Km/Est.</t>
  </si>
  <si>
    <t>MEA</t>
  </si>
  <si>
    <t>Vazios (%) Minimo</t>
  </si>
  <si>
    <t>Vazios (%) Maximo</t>
  </si>
  <si>
    <t/>
  </si>
  <si>
    <t>Certificado Vazios</t>
  </si>
  <si>
    <t xml:space="preserve"> </t>
  </si>
  <si>
    <t>Comprimento</t>
  </si>
  <si>
    <t>Espessura de Campo.</t>
  </si>
  <si>
    <t>Espessura Projeto.</t>
  </si>
  <si>
    <t>CAP (%)</t>
  </si>
  <si>
    <t>IRI (m/km)</t>
  </si>
  <si>
    <t>Tx. Ligante Residual (l/m²)</t>
  </si>
  <si>
    <t>Volume Total Aplicado (M³)</t>
  </si>
  <si>
    <t>RICE (g/cm³)</t>
  </si>
  <si>
    <t>M Esp Efetiva (g/cm³)</t>
  </si>
  <si>
    <t>Largura Total Aplicada (m)</t>
  </si>
  <si>
    <t>DUI (%RRT)</t>
  </si>
  <si>
    <t>Mancha de areia</t>
  </si>
  <si>
    <t>Nº Amostras</t>
  </si>
  <si>
    <t>Média Max.</t>
  </si>
  <si>
    <t>X Máx</t>
  </si>
  <si>
    <t>Condição do lote</t>
  </si>
  <si>
    <t>Const. K</t>
  </si>
  <si>
    <t>Média Min.</t>
  </si>
  <si>
    <t>X Mín</t>
  </si>
  <si>
    <t>Avaliação do Ensaio:</t>
  </si>
  <si>
    <t>Outras informações:</t>
  </si>
  <si>
    <t>Placa do veiculo coletado:</t>
  </si>
  <si>
    <t>Parcer final do ensaio:</t>
  </si>
  <si>
    <t>Henrique Pelissari</t>
  </si>
  <si>
    <t>A memória de cálculo esta arquivada em Barra Bonita, disponível para a consulta sempre que for necessário.</t>
  </si>
  <si>
    <t>Laboratorista II</t>
  </si>
  <si>
    <r>
      <t xml:space="preserve">Os métodos de ensaio utilizados para obtenção dos resultados estão disponíveis em   </t>
    </r>
    <r>
      <rPr>
        <sz val="8"/>
        <color rgb="FF0070C0"/>
        <rFont val="Times New Roman"/>
        <family val="1"/>
      </rPr>
      <t>https://www.arteris.com.br/especificacoes-tecnicas/</t>
    </r>
  </si>
  <si>
    <t>Laboratório Barra Bonita</t>
  </si>
  <si>
    <t>Desvio Padrão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</si>
</sst>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0_)"/>
    <numFmt numFmtId="165" formatCode="0.000"/>
    <numFmt numFmtId="166" formatCode="0.0"/>
    <numFmt numFmtId="167" formatCode="0.0%"/>
    <numFmt numFmtId="168" formatCode="&quot;Faixa &quot;0"/>
    <numFmt numFmtId="169" formatCode="0&quot; Metros&quot;"/>
    <numFmt numFmtId="170" formatCode="&quot;Pista &quot;General"/>
    <numFmt numFmtId="171" formatCode="_-* #,##0_-;\-* #,##0_-;_-* &quot;-&quot;??_-;_-@_-"/>
    <numFmt numFmtId="172" formatCode="0.0&quot; M³&quot;"/>
    <numFmt numFmtId="173" formatCode="0.000\ &quot;g/cm³&quot;"/>
    <numFmt numFmtId="174" formatCode="General&quot; Metros&quot;"/>
    <numFmt numFmtId="175" formatCode="0.00\ &quot;m&quot;"/>
    <numFmt numFmtId="176" formatCode="0.0&quot; Metros&quot;"/>
    <numFmt numFmtId="177" formatCode="0.000\ &quot;m&quot;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color rgb="FF0000CC"/>
      <name val="Times New Roman"/>
      <family val="1"/>
    </font>
    <font>
      <b/>
      <sz val="8"/>
      <color rgb="FF00B050"/>
      <name val="Times New Roman"/>
      <family val="1"/>
    </font>
    <font>
      <b/>
      <sz val="9"/>
      <color rgb="FF00B050"/>
      <name val="Times New Roman"/>
      <family val="1"/>
    </font>
    <font>
      <b/>
      <sz val="9"/>
      <color rgb="FFFF0000"/>
      <name val="Times New Roman"/>
      <family val="1"/>
    </font>
    <font>
      <sz val="8"/>
      <color rgb="FF15222C"/>
      <name val="Times New Roman"/>
      <family val="1"/>
    </font>
    <font>
      <b/>
      <sz val="9"/>
      <color rgb="FF15222C"/>
      <name val="Times New Roman"/>
      <family val="1"/>
    </font>
    <font>
      <sz val="8"/>
      <color rgb="FF0070C0"/>
      <name val="Times New Roman"/>
      <family val="1"/>
    </font>
    <font>
      <b/>
      <sz val="8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8"/>
      <color rgb="FF429983"/>
      <name val="Times New Roman"/>
      <family val="1"/>
    </font>
    <font>
      <sz val="8"/>
      <color theme="0"/>
      <name val="Times New Roman"/>
      <family val="1"/>
    </font>
    <font>
      <sz val="8"/>
      <color rgb="FFFF0000"/>
      <name val="Times New Roman"/>
      <family val="1"/>
    </font>
    <font>
      <sz val="8"/>
      <name val="Times New Roman"/>
      <family val="1"/>
    </font>
    <font>
      <sz val="8"/>
      <name val="Calibri"/>
      <family val="2"/>
      <scheme val="minor"/>
    </font>
    <font>
      <i/>
      <sz val="8"/>
      <color theme="1"/>
      <name val="Times New Roman"/>
      <family val="1"/>
    </font>
    <font>
      <b/>
      <sz val="9"/>
      <color rgb="FFE9A430"/>
      <name val="Times New Roman"/>
      <family val="1"/>
    </font>
    <font>
      <b/>
      <sz val="9"/>
      <name val="Times New Roman"/>
      <family val="1"/>
    </font>
    <font>
      <b/>
      <sz val="11"/>
      <color theme="1"/>
      <name val="Times New Roman"/>
      <family val="1"/>
    </font>
    <font>
      <b/>
      <i/>
      <sz val="12"/>
      <name val="Times New Roman"/>
      <family val="1"/>
    </font>
    <font>
      <b/>
      <sz val="14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/>
      <diagonal/>
    </border>
  </borders>
  <cellStyleXfs count="12">
    <xf numFmtId="0" fontId="0" fillId="0" borderId="0"/>
    <xf numFmtId="0" fontId="3" fillId="0" borderId="0"/>
    <xf numFmtId="164" fontId="2" fillId="0" borderId="0"/>
    <xf numFmtId="164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73">
    <xf numFmtId="0" fontId="0" fillId="0" borderId="0" xfId="0"/>
    <xf numFmtId="0" fontId="17" fillId="0" borderId="0" xfId="0" applyFont="1"/>
    <xf numFmtId="0" fontId="6" fillId="0" borderId="0" xfId="0" applyFont="1"/>
    <xf numFmtId="0" fontId="12" fillId="0" borderId="10" xfId="8" applyFont="1" applyBorder="1" applyAlignment="1">
      <alignment horizontal="left"/>
    </xf>
    <xf numFmtId="0" fontId="12" fillId="0" borderId="10" xfId="0" applyFont="1" applyBorder="1"/>
    <xf numFmtId="0" fontId="12" fillId="0" borderId="0" xfId="8" applyFont="1" applyAlignment="1">
      <alignment horizontal="left"/>
    </xf>
    <xf numFmtId="0" fontId="12" fillId="0" borderId="0" xfId="0" applyFont="1"/>
    <xf numFmtId="0" fontId="9" fillId="0" borderId="0" xfId="0" applyFont="1" applyAlignment="1">
      <alignment horizontal="left"/>
    </xf>
    <xf numFmtId="14" fontId="9" fillId="0" borderId="0" xfId="0" applyNumberFormat="1" applyFont="1" applyAlignment="1">
      <alignment horizontal="left"/>
    </xf>
    <xf numFmtId="0" fontId="12" fillId="0" borderId="0" xfId="8" applyFont="1"/>
    <xf numFmtId="1" fontId="19" fillId="0" borderId="0" xfId="0" applyNumberFormat="1" applyFont="1" applyAlignment="1">
      <alignment horizontal="left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166" fontId="7" fillId="0" borderId="8" xfId="0" applyNumberFormat="1" applyFont="1" applyBorder="1" applyAlignment="1">
      <alignment horizontal="center"/>
    </xf>
    <xf numFmtId="166" fontId="7" fillId="0" borderId="17" xfId="0" applyNumberFormat="1" applyFont="1" applyBorder="1" applyAlignment="1">
      <alignment horizontal="center"/>
    </xf>
    <xf numFmtId="166" fontId="8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6" fillId="0" borderId="0" xfId="6" applyNumberFormat="1" applyFont="1" applyBorder="1" applyAlignment="1" applyProtection="1">
      <alignment horizontal="center"/>
    </xf>
    <xf numFmtId="0" fontId="6" fillId="0" borderId="15" xfId="0" quotePrefix="1" applyFont="1" applyBorder="1" applyAlignment="1">
      <alignment horizontal="center" vertical="center"/>
    </xf>
    <xf numFmtId="0" fontId="6" fillId="0" borderId="20" xfId="0" quotePrefix="1" applyFont="1" applyBorder="1" applyAlignment="1">
      <alignment horizontal="center" vertical="center"/>
    </xf>
    <xf numFmtId="165" fontId="6" fillId="0" borderId="0" xfId="0" quotePrefix="1" applyNumberFormat="1" applyFont="1" applyAlignment="1">
      <alignment horizontal="center" vertical="center"/>
    </xf>
    <xf numFmtId="165" fontId="6" fillId="0" borderId="11" xfId="0" quotePrefix="1" applyNumberFormat="1" applyFont="1" applyBorder="1" applyAlignment="1">
      <alignment horizontal="center" vertical="center"/>
    </xf>
    <xf numFmtId="165" fontId="6" fillId="0" borderId="0" xfId="0" quotePrefix="1" applyNumberFormat="1" applyFont="1" applyAlignment="1">
      <alignment vertical="center"/>
    </xf>
    <xf numFmtId="165" fontId="6" fillId="0" borderId="11" xfId="0" quotePrefix="1" applyNumberFormat="1" applyFont="1" applyBorder="1" applyAlignment="1">
      <alignment vertical="center"/>
    </xf>
    <xf numFmtId="0" fontId="6" fillId="0" borderId="26" xfId="0" applyFont="1" applyBorder="1" applyAlignment="1">
      <alignment horizontal="center" vertical="center" wrapText="1"/>
    </xf>
    <xf numFmtId="166" fontId="21" fillId="0" borderId="24" xfId="11" quotePrefix="1" applyNumberFormat="1" applyFont="1" applyBorder="1" applyAlignment="1" applyProtection="1">
      <alignment horizontal="center" vertical="center"/>
    </xf>
    <xf numFmtId="166" fontId="21" fillId="0" borderId="25" xfId="11" quotePrefix="1" applyNumberFormat="1" applyFont="1" applyBorder="1" applyAlignment="1" applyProtection="1">
      <alignment horizontal="center" vertical="center"/>
    </xf>
    <xf numFmtId="0" fontId="21" fillId="0" borderId="0" xfId="0" applyFont="1"/>
    <xf numFmtId="166" fontId="21" fillId="0" borderId="0" xfId="11" quotePrefix="1" applyNumberFormat="1" applyFont="1" applyBorder="1" applyAlignment="1" applyProtection="1">
      <alignment horizontal="center" vertical="center"/>
    </xf>
    <xf numFmtId="166" fontId="21" fillId="0" borderId="11" xfId="11" quotePrefix="1" applyNumberFormat="1" applyFont="1" applyBorder="1" applyAlignment="1" applyProtection="1">
      <alignment horizontal="center" vertical="center"/>
    </xf>
    <xf numFmtId="166" fontId="22" fillId="0" borderId="0" xfId="6" applyNumberFormat="1" applyFont="1" applyBorder="1" applyAlignment="1" applyProtection="1">
      <alignment horizont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165" fontId="9" fillId="0" borderId="0" xfId="0" applyNumberFormat="1" applyFont="1" applyAlignment="1">
      <alignment horizontal="left"/>
    </xf>
    <xf numFmtId="0" fontId="6" fillId="0" borderId="1" xfId="0" applyFont="1" applyBorder="1" applyAlignment="1">
      <alignment horizontal="center" vertical="center"/>
    </xf>
    <xf numFmtId="0" fontId="9" fillId="0" borderId="0" xfId="0" applyFont="1"/>
    <xf numFmtId="0" fontId="6" fillId="0" borderId="11" xfId="0" applyFont="1" applyBorder="1" applyAlignment="1">
      <alignment vertical="center"/>
    </xf>
    <xf numFmtId="14" fontId="9" fillId="0" borderId="11" xfId="0" applyNumberFormat="1" applyFont="1" applyBorder="1"/>
    <xf numFmtId="0" fontId="6" fillId="0" borderId="19" xfId="0" applyFont="1" applyBorder="1" applyAlignment="1">
      <alignment horizontal="center" vertical="center"/>
    </xf>
    <xf numFmtId="0" fontId="18" fillId="0" borderId="5" xfId="0" applyFont="1" applyBorder="1" applyAlignment="1">
      <alignment horizontal="left"/>
    </xf>
    <xf numFmtId="165" fontId="9" fillId="0" borderId="5" xfId="0" applyNumberFormat="1" applyFont="1" applyBorder="1" applyAlignment="1">
      <alignment horizontal="left"/>
    </xf>
    <xf numFmtId="0" fontId="7" fillId="0" borderId="0" xfId="0" applyFont="1"/>
    <xf numFmtId="0" fontId="17" fillId="0" borderId="12" xfId="0" applyFont="1" applyBorder="1"/>
    <xf numFmtId="0" fontId="17" fillId="0" borderId="13" xfId="0" applyFont="1" applyBorder="1"/>
    <xf numFmtId="165" fontId="9" fillId="0" borderId="11" xfId="0" applyNumberFormat="1" applyFont="1" applyBorder="1" applyAlignment="1">
      <alignment horizontal="left"/>
    </xf>
    <xf numFmtId="0" fontId="18" fillId="0" borderId="5" xfId="0" applyFont="1" applyBorder="1" applyAlignment="1">
      <alignment horizontal="left" vertical="center"/>
    </xf>
    <xf numFmtId="169" fontId="5" fillId="0" borderId="0" xfId="0" applyNumberFormat="1" applyFont="1" applyAlignment="1">
      <alignment vertical="center" textRotation="90"/>
    </xf>
    <xf numFmtId="171" fontId="6" fillId="0" borderId="0" xfId="11" applyNumberFormat="1" applyFont="1" applyAlignment="1" applyProtection="1">
      <alignment horizontal="center" vertical="center"/>
    </xf>
    <xf numFmtId="0" fontId="18" fillId="0" borderId="12" xfId="0" applyFont="1" applyBorder="1" applyAlignment="1">
      <alignment horizontal="center" vertical="center" wrapText="1"/>
    </xf>
    <xf numFmtId="14" fontId="24" fillId="0" borderId="0" xfId="0" applyNumberFormat="1" applyFont="1" applyAlignment="1">
      <alignment vertical="center"/>
    </xf>
    <xf numFmtId="0" fontId="17" fillId="0" borderId="10" xfId="0" applyFont="1" applyBorder="1"/>
    <xf numFmtId="0" fontId="17" fillId="0" borderId="11" xfId="0" applyFont="1" applyBorder="1"/>
    <xf numFmtId="14" fontId="9" fillId="0" borderId="6" xfId="0" applyNumberFormat="1" applyFont="1" applyBorder="1" applyAlignment="1">
      <alignment horizontal="left"/>
    </xf>
    <xf numFmtId="176" fontId="8" fillId="0" borderId="0" xfId="0" applyNumberFormat="1" applyFont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27" xfId="0" quotePrefix="1" applyFont="1" applyBorder="1" applyAlignment="1">
      <alignment horizontal="center" vertical="center"/>
    </xf>
    <xf numFmtId="165" fontId="6" fillId="0" borderId="10" xfId="0" quotePrefix="1" applyNumberFormat="1" applyFont="1" applyBorder="1" applyAlignment="1">
      <alignment vertical="center"/>
    </xf>
    <xf numFmtId="165" fontId="6" fillId="0" borderId="10" xfId="0" quotePrefix="1" applyNumberFormat="1" applyFont="1" applyBorder="1" applyAlignment="1">
      <alignment horizontal="center" vertical="center"/>
    </xf>
    <xf numFmtId="166" fontId="21" fillId="0" borderId="10" xfId="11" quotePrefix="1" applyNumberFormat="1" applyFont="1" applyBorder="1" applyAlignment="1" applyProtection="1">
      <alignment horizontal="center" vertical="center"/>
    </xf>
    <xf numFmtId="166" fontId="21" fillId="0" borderId="28" xfId="11" quotePrefix="1" applyNumberFormat="1" applyFont="1" applyBorder="1" applyAlignment="1" applyProtection="1">
      <alignment horizontal="center" vertical="center"/>
    </xf>
    <xf numFmtId="0" fontId="18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18" fillId="0" borderId="12" xfId="0" applyFont="1" applyBorder="1" applyAlignment="1">
      <alignment horizontal="left"/>
    </xf>
    <xf numFmtId="0" fontId="13" fillId="0" borderId="10" xfId="0" applyFont="1" applyBorder="1" applyAlignment="1">
      <alignment horizontal="center"/>
    </xf>
    <xf numFmtId="167" fontId="9" fillId="0" borderId="0" xfId="6" applyNumberFormat="1" applyFont="1" applyBorder="1" applyAlignment="1" applyProtection="1">
      <alignment horizontal="center" vertical="center" wrapText="1"/>
    </xf>
    <xf numFmtId="175" fontId="9" fillId="0" borderId="3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left"/>
    </xf>
    <xf numFmtId="165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0" fillId="2" borderId="0" xfId="0" applyFont="1" applyFill="1"/>
    <xf numFmtId="166" fontId="7" fillId="0" borderId="8" xfId="0" applyNumberFormat="1" applyFont="1" applyBorder="1" applyAlignment="1">
      <alignment horizontal="center" wrapText="1"/>
    </xf>
    <xf numFmtId="0" fontId="6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18" fillId="0" borderId="32" xfId="0" applyFont="1" applyBorder="1" applyAlignment="1">
      <alignment horizontal="left"/>
    </xf>
    <xf numFmtId="0" fontId="18" fillId="0" borderId="11" xfId="0" applyFont="1" applyBorder="1" applyAlignment="1">
      <alignment horizontal="left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left" vertical="center"/>
    </xf>
    <xf numFmtId="0" fontId="18" fillId="0" borderId="18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vertical="center"/>
    </xf>
    <xf numFmtId="0" fontId="26" fillId="0" borderId="11" xfId="0" applyFont="1" applyBorder="1" applyAlignment="1">
      <alignment horizontal="center" wrapText="1"/>
    </xf>
    <xf numFmtId="0" fontId="26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left"/>
    </xf>
    <xf numFmtId="0" fontId="15" fillId="0" borderId="29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8" fillId="0" borderId="12" xfId="0" applyFont="1" applyBorder="1" applyAlignment="1">
      <alignment horizontal="left"/>
    </xf>
    <xf numFmtId="14" fontId="9" fillId="0" borderId="12" xfId="0" applyNumberFormat="1" applyFont="1" applyBorder="1" applyAlignment="1">
      <alignment horizontal="left"/>
    </xf>
    <xf numFmtId="0" fontId="13" fillId="0" borderId="10" xfId="0" applyFont="1" applyBorder="1" applyAlignment="1">
      <alignment horizontal="center"/>
    </xf>
    <xf numFmtId="167" fontId="9" fillId="0" borderId="0" xfId="6" applyNumberFormat="1" applyFont="1" applyBorder="1" applyAlignment="1" applyProtection="1">
      <alignment horizontal="center" vertical="center" wrapText="1"/>
    </xf>
    <xf numFmtId="0" fontId="9" fillId="0" borderId="34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32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29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27" fillId="0" borderId="31" xfId="0" applyFont="1" applyBorder="1" applyAlignment="1">
      <alignment horizontal="right" vertical="center" textRotation="90" wrapText="1"/>
    </xf>
    <xf numFmtId="0" fontId="27" fillId="0" borderId="7" xfId="0" applyFont="1" applyBorder="1" applyAlignment="1">
      <alignment horizontal="right" vertical="center" textRotation="90" wrapText="1"/>
    </xf>
    <xf numFmtId="0" fontId="27" fillId="0" borderId="16" xfId="0" applyFont="1" applyBorder="1" applyAlignment="1">
      <alignment horizontal="right" vertical="center" textRotation="90" wrapText="1"/>
    </xf>
    <xf numFmtId="0" fontId="10" fillId="0" borderId="9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165" fontId="9" fillId="0" borderId="10" xfId="0" applyNumberFormat="1" applyFont="1" applyBorder="1" applyAlignment="1">
      <alignment horizontal="left"/>
    </xf>
    <xf numFmtId="0" fontId="18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left"/>
    </xf>
    <xf numFmtId="0" fontId="18" fillId="0" borderId="0" xfId="0" applyFont="1" applyAlignment="1">
      <alignment horizontal="left"/>
    </xf>
    <xf numFmtId="14" fontId="9" fillId="0" borderId="0" xfId="0" applyNumberFormat="1" applyFont="1" applyAlignment="1">
      <alignment horizontal="left"/>
    </xf>
    <xf numFmtId="0" fontId="18" fillId="0" borderId="29" xfId="0" applyFont="1" applyBorder="1" applyAlignment="1">
      <alignment horizontal="left"/>
    </xf>
    <xf numFmtId="0" fontId="18" fillId="0" borderId="1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5" xfId="0" applyFont="1" applyBorder="1" applyAlignment="1">
      <alignment horizontal="left" vertical="center"/>
    </xf>
    <xf numFmtId="0" fontId="25" fillId="0" borderId="9" xfId="0" applyFont="1" applyBorder="1" applyAlignment="1">
      <alignment horizontal="center"/>
    </xf>
    <xf numFmtId="173" fontId="9" fillId="0" borderId="0" xfId="0" applyNumberFormat="1" applyFont="1" applyAlignment="1">
      <alignment horizontal="center"/>
    </xf>
    <xf numFmtId="2" fontId="9" fillId="0" borderId="0" xfId="6" applyNumberFormat="1" applyFont="1" applyBorder="1" applyAlignment="1" applyProtection="1">
      <alignment horizontal="center" vertical="center"/>
    </xf>
    <xf numFmtId="14" fontId="9" fillId="0" borderId="0" xfId="6" applyNumberFormat="1" applyFont="1" applyBorder="1" applyAlignment="1" applyProtection="1">
      <alignment horizontal="center" vertical="center" wrapText="1"/>
    </xf>
    <xf numFmtId="14" fontId="6" fillId="0" borderId="10" xfId="0" applyNumberFormat="1" applyFont="1" applyBorder="1" applyAlignment="1">
      <alignment vertical="center"/>
    </xf>
    <xf numFmtId="0" fontId="28" fillId="0" borderId="3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3" borderId="1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0" borderId="10" xfId="0" applyFont="1" applyBorder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11" xfId="0" applyNumberFormat="1" applyFont="1" applyBorder="1" applyAlignment="1">
      <alignment horizontal="center" vertical="center"/>
    </xf>
    <xf numFmtId="168" fontId="18" fillId="0" borderId="3" xfId="0" applyNumberFormat="1" applyFont="1" applyBorder="1" applyAlignment="1">
      <alignment horizontal="center" vertical="center" wrapText="1"/>
    </xf>
    <xf numFmtId="168" fontId="18" fillId="0" borderId="5" xfId="0" applyNumberFormat="1" applyFont="1" applyBorder="1" applyAlignment="1">
      <alignment horizontal="center" vertical="center" wrapText="1"/>
    </xf>
    <xf numFmtId="170" fontId="18" fillId="0" borderId="10" xfId="0" applyNumberFormat="1" applyFont="1" applyBorder="1" applyAlignment="1">
      <alignment horizontal="center" vertical="center" wrapText="1"/>
    </xf>
    <xf numFmtId="170" fontId="18" fillId="0" borderId="5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172" fontId="8" fillId="0" borderId="0" xfId="0" applyNumberFormat="1" applyFont="1" applyAlignment="1">
      <alignment horizontal="center" vertical="center"/>
    </xf>
    <xf numFmtId="172" fontId="8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6" fillId="0" borderId="10" xfId="0" applyFont="1" applyBorder="1" applyAlignment="1">
      <alignment horizontal="center" vertical="top" wrapText="1"/>
    </xf>
    <xf numFmtId="0" fontId="16" fillId="0" borderId="1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175" fontId="9" fillId="0" borderId="3" xfId="0" applyNumberFormat="1" applyFont="1" applyBorder="1" applyAlignment="1">
      <alignment horizontal="center" vertical="center" wrapText="1"/>
    </xf>
    <xf numFmtId="175" fontId="9" fillId="0" borderId="1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77" fontId="9" fillId="0" borderId="3" xfId="0" applyNumberFormat="1" applyFont="1" applyBorder="1" applyAlignment="1">
      <alignment horizontal="center" vertical="center" wrapText="1"/>
    </xf>
    <xf numFmtId="177" fontId="9" fillId="0" borderId="11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4" fontId="9" fillId="0" borderId="3" xfId="0" applyNumberFormat="1" applyFont="1" applyBorder="1" applyAlignment="1">
      <alignment horizontal="center" vertical="center" wrapText="1"/>
    </xf>
    <xf numFmtId="174" fontId="9" fillId="0" borderId="0" xfId="0" applyNumberFormat="1" applyFont="1" applyAlignment="1">
      <alignment horizontal="center" vertical="center" wrapText="1"/>
    </xf>
    <xf numFmtId="0" fontId="15" fillId="0" borderId="21" xfId="0" applyFont="1" applyBorder="1" applyAlignment="1">
      <alignment horizontal="center"/>
    </xf>
    <xf numFmtId="0" fontId="15" fillId="0" borderId="9" xfId="0" applyFont="1" applyBorder="1" applyAlignment="1">
      <alignment horizontal="center"/>
    </xf>
  </cellXfs>
  <cellStyles count="12">
    <cellStyle name="Normal" xfId="0" builtinId="0"/>
    <cellStyle name="Normal 10" xfId="7" xr:uid="{00000000-0005-0000-0000-000003000000}"/>
    <cellStyle name="Normal 2" xfId="1" xr:uid="{00000000-0005-0000-0000-000004000000}"/>
    <cellStyle name="Normal 2 2" xfId="2" xr:uid="{00000000-0005-0000-0000-000005000000}"/>
    <cellStyle name="Normal 3" xfId="3" xr:uid="{00000000-0005-0000-0000-000006000000}"/>
    <cellStyle name="Normal 4" xfId="4" xr:uid="{00000000-0005-0000-0000-000007000000}"/>
    <cellStyle name="Normal 4 2" xfId="5" xr:uid="{00000000-0005-0000-0000-000008000000}"/>
    <cellStyle name="Normal 4 2 2" xfId="9" xr:uid="{00000000-0005-0000-0000-000009000000}"/>
    <cellStyle name="Normal 4 3" xfId="8" xr:uid="{00000000-0005-0000-0000-00000A000000}"/>
    <cellStyle name="Porcentagem" xfId="6" builtinId="5"/>
    <cellStyle name="Porcentagem 2 3" xfId="10" xr:uid="{00000000-0005-0000-0000-00000D000000}"/>
    <cellStyle name="Vírgula" xfId="11" builtinId="3"/>
  </cellStyles>
  <dxfs count="31"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auto="1"/>
      </font>
    </dxf>
    <dxf>
      <font>
        <color auto="1"/>
      </font>
    </dxf>
    <dxf>
      <border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/>
        <top/>
        <bottom/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C0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auto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0000CC"/>
      <color rgb="FFCFC213"/>
      <color rgb="FF429983"/>
      <color rgb="FFE9A430"/>
      <color rgb="FFB8B8B8"/>
      <color rgb="FF1522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35907729631273"/>
          <c:y val="0.1319877382857769"/>
          <c:w val="0.8401863636919481"/>
          <c:h val="0.67447339571413789"/>
        </c:manualLayout>
      </c:layout>
      <c:scatterChart>
        <c:scatterStyle val="lineMarker"/>
        <c:varyColors val="0"/>
        <c:ser>
          <c:idx val="0"/>
          <c:order val="0"/>
          <c:tx>
            <c:strRef>
              <c:f>ENSAIO!$F$19</c:f>
              <c:strCache>
                <c:ptCount val="1"/>
                <c:pt idx="0">
                  <c:v>Lim. Inf (%)</c:v>
                </c:pt>
              </c:strCache>
            </c:strRef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ENSAIO!$C$20:$C$29</c:f>
              <c:numCache>
                <c:formatCode>General</c:formatCode>
                <c:ptCount val="10"/>
              </c:numCache>
            </c:numRef>
          </c:xVal>
          <c:yVal>
            <c:numRef>
              <c:f>ENSAIO!$F$20:$F$29</c:f>
              <c:numCache>
                <c:formatCode>0.0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B1-444D-AEB6-3B0A1712D905}"/>
            </c:ext>
          </c:extLst>
        </c:ser>
        <c:ser>
          <c:idx val="1"/>
          <c:order val="1"/>
          <c:tx>
            <c:strRef>
              <c:f>ENSAIO!$G$19</c:f>
              <c:strCache>
                <c:ptCount val="1"/>
                <c:pt idx="0">
                  <c:v>Lim. Sup (%)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ENSAIO!$C$20:$C$29</c:f>
              <c:numCache>
                <c:formatCode>General</c:formatCode>
                <c:ptCount val="10"/>
              </c:numCache>
            </c:numRef>
          </c:xVal>
          <c:yVal>
            <c:numRef>
              <c:f>ENSAIO!$G$20:$G$29</c:f>
              <c:numCache>
                <c:formatCode>0.0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B1-444D-AEB6-3B0A1712D905}"/>
            </c:ext>
          </c:extLst>
        </c:ser>
        <c:ser>
          <c:idx val="2"/>
          <c:order val="2"/>
          <c:tx>
            <c:strRef>
              <c:f>ENSAIO!$D$18</c:f>
              <c:strCache>
                <c:ptCount val="1"/>
                <c:pt idx="0">
                  <c:v>Passante Encontrado (%)</c:v>
                </c:pt>
              </c:strCache>
            </c:strRef>
          </c:tx>
          <c:spPr>
            <a:ln w="12700">
              <a:solidFill>
                <a:srgbClr val="0000FF"/>
              </a:solidFill>
              <a:prstDash val="dash"/>
            </a:ln>
          </c:spPr>
          <c:marker>
            <c:symbol val="none"/>
          </c:marker>
          <c:xVal>
            <c:numRef>
              <c:f>ENSAIO!$C$20:$C$29</c:f>
              <c:numCache>
                <c:formatCode>General</c:formatCode>
                <c:ptCount val="10"/>
              </c:numCache>
            </c:numRef>
          </c:xVal>
          <c:yVal>
            <c:numRef>
              <c:f>ENSAIO!$D$20:$D$29</c:f>
              <c:numCache>
                <c:formatCode>0.0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B1-444D-AEB6-3B0A1712D905}"/>
            </c:ext>
          </c:extLst>
        </c:ser>
        <c:ser>
          <c:idx val="3"/>
          <c:order val="3"/>
          <c:tx>
            <c:v>PENEIRAS</c:v>
          </c:tx>
          <c:spPr>
            <a:ln w="28575">
              <a:noFill/>
            </a:ln>
          </c:spPr>
          <c:marker>
            <c:symbol val="none"/>
          </c:marker>
          <c:dLbls>
            <c:numFmt formatCode="0.00" sourceLinked="0"/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r">
                  <a:defRPr/>
                </a:pPr>
                <a:endParaRPr lang="pt-BR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fixedVal"/>
            <c:noEndCap val="0"/>
            <c:val val="100"/>
            <c:spPr>
              <a:ln w="3175">
                <a:solidFill>
                  <a:schemeClr val="accent6">
                    <a:lumMod val="75000"/>
                  </a:schemeClr>
                </a:solidFill>
                <a:prstDash val="solid"/>
              </a:ln>
            </c:spPr>
          </c:errBars>
          <c:xVal>
            <c:numRef>
              <c:f>ENSAIO!$C$20:$C$29</c:f>
              <c:numCache>
                <c:formatCode>General</c:formatCode>
                <c:ptCount val="10"/>
              </c:numCache>
            </c:numRef>
          </c:xVal>
          <c:yVal>
            <c:numRef>
              <c:f>ENSAIO!$A$20:$A$29</c:f>
              <c:numCache>
                <c:formatCode>General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B1-444D-AEB6-3B0A1712D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77888"/>
        <c:axId val="32679808"/>
      </c:scatterChart>
      <c:valAx>
        <c:axId val="32677888"/>
        <c:scaling>
          <c:logBase val="10"/>
          <c:orientation val="minMax"/>
          <c:max val="50"/>
          <c:min val="6.5000000000000016E-2"/>
        </c:scaling>
        <c:delete val="1"/>
        <c:axPos val="b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pt-BR" b="1"/>
                  <a:t>Tamanho</a:t>
                </a:r>
              </a:p>
            </c:rich>
          </c:tx>
          <c:layout>
            <c:manualLayout>
              <c:xMode val="edge"/>
              <c:yMode val="edge"/>
              <c:x val="0.46735296976766794"/>
              <c:y val="0.823718150615788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crossAx val="32679808"/>
        <c:crosses val="autoZero"/>
        <c:crossBetween val="midCat"/>
      </c:valAx>
      <c:valAx>
        <c:axId val="326798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chemeClr val="tx2">
                  <a:lumMod val="60000"/>
                  <a:lumOff val="40000"/>
                </a:schemeClr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pt-BR" b="1"/>
                  <a:t>% passante</a:t>
                </a:r>
              </a:p>
            </c:rich>
          </c:tx>
          <c:layout>
            <c:manualLayout>
              <c:xMode val="edge"/>
              <c:yMode val="edge"/>
              <c:x val="1.3578802474216163E-3"/>
              <c:y val="0.3224928892256668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chemeClr val="tx2">
                <a:lumMod val="60000"/>
                <a:lumOff val="40000"/>
              </a:schemeClr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2677888"/>
        <c:crossesAt val="1.0000000000000002E-2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3"/>
        <c:delete val="1"/>
      </c:legendEntry>
      <c:layout>
        <c:manualLayout>
          <c:xMode val="edge"/>
          <c:yMode val="edge"/>
          <c:x val="0"/>
          <c:y val="0.89599475065616796"/>
          <c:w val="0.99894113930203166"/>
          <c:h val="7.651241671714111E-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9525">
      <a:noFill/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Times New Roman" pitchFamily="18" charset="0"/>
          <a:ea typeface="Tahoma"/>
          <a:cs typeface="Times New Roman" pitchFamily="18" charset="0"/>
        </a:defRPr>
      </a:pPr>
      <a:endParaRPr lang="pt-BR"/>
    </a:p>
  </c:txPr>
  <c:printSettings>
    <c:headerFooter alignWithMargins="0"/>
    <c:pageMargins b="0.98425196899999956" l="0.78740157499999996" r="0.78740157499999996" t="0.98425196899999956" header="0.49212598500003202" footer="0.49212598500003202"/>
    <c:pageSetup paperSize="9" orientation="landscape" horizontalDpi="300" verticalDpi="-1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5458</xdr:colOff>
      <xdr:row>29</xdr:row>
      <xdr:rowOff>78441</xdr:rowOff>
    </xdr:from>
    <xdr:to>
      <xdr:col>6</xdr:col>
      <xdr:colOff>541244</xdr:colOff>
      <xdr:row>44</xdr:row>
      <xdr:rowOff>88525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750795</xdr:colOff>
          <xdr:row>47</xdr:row>
          <xdr:rowOff>67236</xdr:rowOff>
        </xdr:from>
        <xdr:to>
          <xdr:col>18</xdr:col>
          <xdr:colOff>175</xdr:colOff>
          <xdr:row>50</xdr:row>
          <xdr:rowOff>137942</xdr:rowOff>
        </xdr:to>
        <xdr:pic>
          <xdr:nvPicPr>
            <xdr:cNvPr id="12" name="Imagem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" spid="_x0000_s42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9503236" y="8482854"/>
              <a:ext cx="1496720" cy="60858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51"/>
  <sheetViews>
    <sheetView showGridLines="0" tabSelected="1" topLeftCell="A27" zoomScaleNormal="100" zoomScaleSheetLayoutView="100" workbookViewId="0">
      <selection activeCell="O45" sqref="O45"/>
    </sheetView>
  </sheetViews>
  <sheetFormatPr defaultColWidth="9.140625" defaultRowHeight="11.25" x14ac:dyDescent="0.2"/>
  <cols>
    <col min="1" max="1" width="5" style="2" customWidth="1"/>
    <col min="2" max="2" width="7.85546875" style="2" customWidth="1"/>
    <col min="3" max="3" width="7.5703125" style="2" customWidth="1"/>
    <col min="4" max="5" width="9" style="2" customWidth="1"/>
    <col min="6" max="6" width="9.140625" style="2" customWidth="1"/>
    <col min="7" max="7" width="8.42578125" style="2" customWidth="1"/>
    <col min="8" max="8" width="5.85546875" style="2" customWidth="1"/>
    <col min="9" max="9" width="12.5703125" style="2" customWidth="1"/>
    <col min="10" max="10" width="9" style="2" customWidth="1"/>
    <col min="11" max="11" width="20.28515625" style="2" bestFit="1" customWidth="1"/>
    <col min="12" max="12" width="10" style="2" customWidth="1"/>
    <col min="13" max="13" width="8.140625" style="2" customWidth="1"/>
    <col min="14" max="14" width="14.42578125" style="2" customWidth="1"/>
    <col min="15" max="15" width="11.85546875" style="2" customWidth="1"/>
    <col min="16" max="16" width="10" style="2" customWidth="1"/>
    <col min="17" max="17" width="9.140625" style="2" customWidth="1"/>
    <col min="18" max="18" width="10.85546875" style="2" customWidth="1"/>
    <col min="19" max="19" width="4.42578125" style="2" customWidth="1"/>
    <col min="20" max="16384" width="9.140625" style="2"/>
  </cols>
  <sheetData>
    <row r="1" spans="1:19" s="1" customFormat="1" ht="15.6" customHeight="1" thickBot="1" x14ac:dyDescent="0.25">
      <c r="A1" s="34"/>
      <c r="B1" s="102" t="s">
        <v>0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34"/>
    </row>
    <row r="2" spans="1:19" s="1" customFormat="1" ht="12" customHeight="1" x14ac:dyDescent="0.2">
      <c r="A2" s="2"/>
      <c r="B2" s="3" t="s">
        <v>1</v>
      </c>
      <c r="C2" s="4"/>
      <c r="D2" s="78"/>
      <c r="E2" s="4"/>
      <c r="F2" s="4"/>
      <c r="G2" s="3" t="s">
        <v>2</v>
      </c>
      <c r="H2" s="4"/>
      <c r="I2" s="78"/>
      <c r="K2" s="67" t="s">
        <v>3</v>
      </c>
      <c r="L2" s="117" t="s">
        <v>4</v>
      </c>
      <c r="M2" s="111"/>
      <c r="N2" s="112"/>
      <c r="O2" s="112"/>
      <c r="P2" s="112"/>
      <c r="Q2" s="112"/>
      <c r="R2" s="112"/>
      <c r="S2" s="2"/>
    </row>
    <row r="3" spans="1:19" s="1" customFormat="1" ht="12" customHeight="1" x14ac:dyDescent="0.2">
      <c r="A3" s="2"/>
      <c r="B3" s="5" t="s">
        <v>5</v>
      </c>
      <c r="C3" s="6"/>
      <c r="D3" s="7"/>
      <c r="E3" s="6"/>
      <c r="F3" s="38"/>
      <c r="G3" s="6" t="s">
        <v>6</v>
      </c>
      <c r="H3" s="6"/>
      <c r="I3" s="8"/>
      <c r="K3" s="121">
        <v>0</v>
      </c>
      <c r="L3" s="118"/>
      <c r="M3" s="115"/>
      <c r="N3" s="116"/>
      <c r="O3" s="116"/>
      <c r="P3" s="116"/>
      <c r="Q3" s="116"/>
      <c r="R3" s="116"/>
      <c r="S3" s="2"/>
    </row>
    <row r="4" spans="1:19" s="1" customFormat="1" ht="12" customHeight="1" x14ac:dyDescent="0.2">
      <c r="A4" s="2"/>
      <c r="B4" s="5" t="s">
        <v>7</v>
      </c>
      <c r="C4" s="6"/>
      <c r="D4" s="7"/>
      <c r="E4" s="6"/>
      <c r="F4" s="38"/>
      <c r="G4" s="6" t="s">
        <v>8</v>
      </c>
      <c r="H4" s="6"/>
      <c r="I4" s="8"/>
      <c r="K4" s="121"/>
      <c r="L4" s="118"/>
      <c r="M4" s="115"/>
      <c r="N4" s="116"/>
      <c r="O4" s="116"/>
      <c r="P4" s="116"/>
      <c r="Q4" s="116"/>
      <c r="R4" s="116"/>
      <c r="S4" s="2"/>
    </row>
    <row r="5" spans="1:19" s="1" customFormat="1" ht="12" customHeight="1" x14ac:dyDescent="0.2">
      <c r="A5" s="2"/>
      <c r="B5" s="5" t="s">
        <v>9</v>
      </c>
      <c r="C5" s="6"/>
      <c r="D5" s="7"/>
      <c r="E5" s="6"/>
      <c r="F5" s="38"/>
      <c r="G5" s="6" t="s">
        <v>10</v>
      </c>
      <c r="H5" s="6"/>
      <c r="I5" s="80"/>
      <c r="L5" s="118"/>
      <c r="M5" s="115"/>
      <c r="N5" s="116"/>
      <c r="O5" s="116"/>
      <c r="P5" s="116"/>
      <c r="Q5" s="116"/>
      <c r="R5" s="116"/>
      <c r="S5" s="2"/>
    </row>
    <row r="6" spans="1:19" s="1" customFormat="1" ht="12" customHeight="1" x14ac:dyDescent="0.2">
      <c r="A6" s="2"/>
      <c r="B6" s="5" t="s">
        <v>11</v>
      </c>
      <c r="C6" s="6"/>
      <c r="D6" s="7"/>
      <c r="E6" s="6"/>
      <c r="F6" s="6"/>
      <c r="G6" s="6" t="s">
        <v>12</v>
      </c>
      <c r="I6" s="42"/>
      <c r="L6" s="118"/>
      <c r="M6" s="115"/>
      <c r="N6" s="116"/>
      <c r="O6" s="116"/>
      <c r="P6" s="116"/>
      <c r="Q6" s="116"/>
      <c r="R6" s="116"/>
      <c r="S6" s="2"/>
    </row>
    <row r="7" spans="1:19" s="1" customFormat="1" ht="12" customHeight="1" x14ac:dyDescent="0.2">
      <c r="A7" s="2"/>
      <c r="B7" s="5" t="s">
        <v>13</v>
      </c>
      <c r="C7" s="6"/>
      <c r="D7" s="40"/>
      <c r="E7" s="6"/>
      <c r="F7" s="38"/>
      <c r="G7" s="6" t="s">
        <v>14</v>
      </c>
      <c r="I7" s="42"/>
      <c r="L7" s="118"/>
      <c r="M7" s="115"/>
      <c r="N7" s="116"/>
      <c r="O7" s="116"/>
      <c r="P7" s="116"/>
      <c r="Q7" s="116"/>
      <c r="R7" s="116"/>
      <c r="S7" s="2"/>
    </row>
    <row r="8" spans="1:19" s="1" customFormat="1" ht="12" customHeight="1" thickBot="1" x14ac:dyDescent="0.25">
      <c r="A8" s="2"/>
      <c r="B8" s="9" t="s">
        <v>15</v>
      </c>
      <c r="C8" s="6"/>
      <c r="D8" s="8"/>
      <c r="E8" s="39" t="s">
        <v>16</v>
      </c>
      <c r="F8" s="10"/>
      <c r="G8" s="9" t="s">
        <v>17</v>
      </c>
      <c r="I8" s="44"/>
      <c r="L8" s="119"/>
      <c r="M8" s="113"/>
      <c r="N8" s="114"/>
      <c r="O8" s="114"/>
      <c r="P8" s="114"/>
      <c r="Q8" s="114"/>
      <c r="R8" s="114"/>
      <c r="S8" s="2"/>
    </row>
    <row r="9" spans="1:19" s="1" customFormat="1" ht="12.75" thickBot="1" x14ac:dyDescent="0.25">
      <c r="A9" s="2"/>
      <c r="B9" s="120" t="s">
        <v>18</v>
      </c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2"/>
    </row>
    <row r="10" spans="1:19" s="1" customFormat="1" ht="13.5" customHeight="1" x14ac:dyDescent="0.2">
      <c r="A10" s="2"/>
      <c r="B10" s="109" t="s">
        <v>19</v>
      </c>
      <c r="C10" s="109"/>
      <c r="D10" s="109" t="s">
        <v>20</v>
      </c>
      <c r="E10" s="109"/>
      <c r="F10" s="109"/>
      <c r="G10" s="109" t="s">
        <v>21</v>
      </c>
      <c r="H10" s="109"/>
      <c r="I10" s="109"/>
      <c r="J10" s="109" t="s">
        <v>22</v>
      </c>
      <c r="K10" s="109"/>
      <c r="L10" s="109"/>
      <c r="M10" s="109" t="s">
        <v>23</v>
      </c>
      <c r="N10" s="109"/>
      <c r="O10" s="70" t="s">
        <v>24</v>
      </c>
      <c r="P10" s="70" t="s">
        <v>25</v>
      </c>
      <c r="Q10" s="109" t="s">
        <v>26</v>
      </c>
      <c r="R10" s="109"/>
      <c r="S10" s="2"/>
    </row>
    <row r="11" spans="1:19" s="1" customFormat="1" ht="12" customHeight="1" thickBot="1" x14ac:dyDescent="0.25">
      <c r="A11" s="2"/>
      <c r="B11" s="133"/>
      <c r="C11" s="133"/>
      <c r="D11" s="132"/>
      <c r="E11" s="132"/>
      <c r="F11" s="132"/>
      <c r="G11" s="132"/>
      <c r="H11" s="132"/>
      <c r="I11" s="132"/>
      <c r="J11" s="132"/>
      <c r="K11" s="132"/>
      <c r="L11" s="132"/>
      <c r="M11" s="110"/>
      <c r="N11" s="110"/>
      <c r="O11" s="71"/>
      <c r="P11" s="71"/>
      <c r="Q11" s="134"/>
      <c r="R11" s="134"/>
      <c r="S11" s="2"/>
    </row>
    <row r="12" spans="1:19" s="1" customFormat="1" ht="12" customHeight="1" thickBot="1" x14ac:dyDescent="0.25">
      <c r="A12" s="2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2"/>
    </row>
    <row r="13" spans="1:19" s="1" customFormat="1" ht="13.5" customHeight="1" x14ac:dyDescent="0.2">
      <c r="A13" s="2"/>
      <c r="B13" s="69" t="s">
        <v>27</v>
      </c>
      <c r="C13" s="104"/>
      <c r="D13" s="104"/>
      <c r="E13" s="107" t="s">
        <v>28</v>
      </c>
      <c r="F13" s="107"/>
      <c r="G13" s="108"/>
      <c r="H13" s="104"/>
      <c r="I13" s="69" t="s">
        <v>2</v>
      </c>
      <c r="J13" s="104"/>
      <c r="K13" s="104"/>
      <c r="L13" s="49"/>
      <c r="M13" s="49"/>
      <c r="N13" s="50"/>
      <c r="O13" s="105" t="s">
        <v>29</v>
      </c>
      <c r="P13" s="106"/>
      <c r="Q13" s="122"/>
      <c r="R13" s="122"/>
      <c r="S13" s="2"/>
    </row>
    <row r="14" spans="1:19" s="1" customFormat="1" ht="11.25" customHeight="1" x14ac:dyDescent="0.2">
      <c r="A14" s="2"/>
      <c r="B14" s="52" t="s">
        <v>30</v>
      </c>
      <c r="C14" s="130"/>
      <c r="D14" s="130"/>
      <c r="E14" s="130"/>
      <c r="F14" s="130"/>
      <c r="G14" s="46" t="s">
        <v>31</v>
      </c>
      <c r="H14" s="129"/>
      <c r="I14" s="129"/>
      <c r="J14" s="129"/>
      <c r="K14" s="129"/>
      <c r="L14" s="128" t="s">
        <v>28</v>
      </c>
      <c r="M14" s="128"/>
      <c r="N14" s="59"/>
      <c r="O14" s="125" t="s">
        <v>32</v>
      </c>
      <c r="P14" s="125"/>
      <c r="Q14" s="116"/>
      <c r="R14" s="116"/>
      <c r="S14" s="2"/>
    </row>
    <row r="15" spans="1:19" s="1" customFormat="1" ht="11.25" customHeight="1" x14ac:dyDescent="0.2">
      <c r="A15" s="2"/>
      <c r="B15" s="123" t="s">
        <v>33</v>
      </c>
      <c r="C15" s="123"/>
      <c r="D15" s="124"/>
      <c r="E15" s="124"/>
      <c r="F15" s="124"/>
      <c r="G15" s="124"/>
      <c r="H15" s="116"/>
      <c r="I15" s="116"/>
      <c r="J15" s="125" t="s">
        <v>28</v>
      </c>
      <c r="K15" s="125"/>
      <c r="L15" s="126"/>
      <c r="M15" s="116"/>
      <c r="N15" s="42"/>
      <c r="O15" s="127" t="s">
        <v>28</v>
      </c>
      <c r="P15" s="125"/>
      <c r="Q15" s="126"/>
      <c r="R15" s="116"/>
      <c r="S15" s="2"/>
    </row>
    <row r="16" spans="1:19" s="1" customFormat="1" ht="11.25" customHeight="1" thickBot="1" x14ac:dyDescent="0.25">
      <c r="A16" s="2"/>
      <c r="B16" s="92" t="s">
        <v>34</v>
      </c>
      <c r="C16" s="92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86" t="s">
        <v>35</v>
      </c>
      <c r="P16" s="87"/>
      <c r="Q16" s="51"/>
      <c r="R16" s="47"/>
      <c r="S16" s="2"/>
    </row>
    <row r="17" spans="1:19" s="1" customFormat="1" ht="12.75" customHeight="1" thickBot="1" x14ac:dyDescent="0.25">
      <c r="A17" s="2"/>
      <c r="B17" s="84" t="s">
        <v>36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2"/>
    </row>
    <row r="18" spans="1:19" s="1" customFormat="1" ht="24" customHeight="1" x14ac:dyDescent="0.2">
      <c r="A18" s="2"/>
      <c r="B18" s="88" t="s">
        <v>37</v>
      </c>
      <c r="C18" s="89"/>
      <c r="D18" s="90" t="s">
        <v>38</v>
      </c>
      <c r="E18" s="90" t="s">
        <v>39</v>
      </c>
      <c r="F18" s="96" t="s">
        <v>40</v>
      </c>
      <c r="G18" s="88"/>
      <c r="H18" s="93" t="s">
        <v>41</v>
      </c>
      <c r="I18" s="94"/>
      <c r="J18" s="94"/>
      <c r="K18" s="94"/>
      <c r="L18" s="94"/>
      <c r="M18" s="94"/>
      <c r="N18" s="94"/>
      <c r="O18" s="94"/>
      <c r="P18" s="94"/>
      <c r="Q18" s="95"/>
      <c r="R18" s="55" t="s">
        <v>42</v>
      </c>
      <c r="S18" s="2"/>
    </row>
    <row r="19" spans="1:19" s="1" customFormat="1" ht="26.25" customHeight="1" thickBot="1" x14ac:dyDescent="0.25">
      <c r="A19" s="2"/>
      <c r="B19" s="41" t="s">
        <v>43</v>
      </c>
      <c r="C19" s="11" t="s">
        <v>44</v>
      </c>
      <c r="D19" s="91"/>
      <c r="E19" s="91"/>
      <c r="F19" s="12" t="s">
        <v>45</v>
      </c>
      <c r="G19" s="12" t="s">
        <v>46</v>
      </c>
      <c r="H19" s="61" t="s">
        <v>47</v>
      </c>
      <c r="I19" s="75" t="s">
        <v>48</v>
      </c>
      <c r="J19" s="75" t="s">
        <v>49</v>
      </c>
      <c r="K19" s="76" t="s">
        <v>50</v>
      </c>
      <c r="L19" s="77" t="s">
        <v>51</v>
      </c>
      <c r="M19" s="45" t="s">
        <v>47</v>
      </c>
      <c r="N19" s="41" t="s">
        <v>48</v>
      </c>
      <c r="O19" s="41" t="s">
        <v>49</v>
      </c>
      <c r="P19" s="13" t="s">
        <v>50</v>
      </c>
      <c r="Q19" s="31" t="s">
        <v>51</v>
      </c>
      <c r="R19" s="140" t="s">
        <v>52</v>
      </c>
      <c r="S19" s="2"/>
    </row>
    <row r="20" spans="1:19" s="1" customFormat="1" ht="11.25" customHeight="1" x14ac:dyDescent="0.2">
      <c r="A20" s="81">
        <v>100</v>
      </c>
      <c r="B20" s="73"/>
      <c r="C20" s="74"/>
      <c r="D20" s="14"/>
      <c r="E20" s="14"/>
      <c r="F20" s="22"/>
      <c r="G20" s="22"/>
      <c r="H20" s="62" t="s">
        <v>52</v>
      </c>
      <c r="I20" s="64" t="s">
        <v>52</v>
      </c>
      <c r="J20" s="64" t="s">
        <v>52</v>
      </c>
      <c r="K20" s="65" t="s">
        <v>52</v>
      </c>
      <c r="L20" s="66" t="s">
        <v>52</v>
      </c>
      <c r="M20" s="62" t="s">
        <v>52</v>
      </c>
      <c r="N20" s="63" t="s">
        <v>52</v>
      </c>
      <c r="O20" s="64" t="s">
        <v>52</v>
      </c>
      <c r="P20" s="65" t="s">
        <v>52</v>
      </c>
      <c r="Q20" s="66" t="s">
        <v>52</v>
      </c>
      <c r="R20" s="141"/>
      <c r="S20" s="2"/>
    </row>
    <row r="21" spans="1:19" s="1" customFormat="1" ht="11.25" customHeight="1" x14ac:dyDescent="0.2">
      <c r="A21" s="81">
        <v>100</v>
      </c>
      <c r="B21" s="73"/>
      <c r="C21" s="74"/>
      <c r="D21" s="14"/>
      <c r="E21" s="14"/>
      <c r="F21" s="22"/>
      <c r="G21" s="22"/>
      <c r="H21" s="25" t="s">
        <v>52</v>
      </c>
      <c r="I21" s="27" t="s">
        <v>52</v>
      </c>
      <c r="J21" s="27" t="s">
        <v>52</v>
      </c>
      <c r="K21" s="35" t="s">
        <v>52</v>
      </c>
      <c r="L21" s="32" t="s">
        <v>52</v>
      </c>
      <c r="M21" s="25" t="s">
        <v>52</v>
      </c>
      <c r="N21" s="27" t="s">
        <v>52</v>
      </c>
      <c r="O21" s="27" t="s">
        <v>52</v>
      </c>
      <c r="P21" s="35" t="s">
        <v>52</v>
      </c>
      <c r="Q21" s="32" t="s">
        <v>52</v>
      </c>
      <c r="R21" s="159" t="s">
        <v>53</v>
      </c>
    </row>
    <row r="22" spans="1:19" s="1" customFormat="1" ht="11.25" customHeight="1" x14ac:dyDescent="0.2">
      <c r="A22" s="81">
        <v>100</v>
      </c>
      <c r="B22" s="73"/>
      <c r="C22" s="74"/>
      <c r="D22" s="14"/>
      <c r="E22" s="14"/>
      <c r="F22" s="22"/>
      <c r="G22" s="22"/>
      <c r="H22" s="25" t="s">
        <v>52</v>
      </c>
      <c r="I22" s="27" t="s">
        <v>52</v>
      </c>
      <c r="J22" s="27" t="s">
        <v>52</v>
      </c>
      <c r="K22" s="35" t="s">
        <v>52</v>
      </c>
      <c r="L22" s="32" t="s">
        <v>52</v>
      </c>
      <c r="M22" s="25" t="s">
        <v>52</v>
      </c>
      <c r="N22" s="27" t="s">
        <v>52</v>
      </c>
      <c r="O22" s="27" t="s">
        <v>52</v>
      </c>
      <c r="P22" s="35" t="s">
        <v>52</v>
      </c>
      <c r="Q22" s="32" t="s">
        <v>52</v>
      </c>
      <c r="R22" s="160"/>
      <c r="S22" s="53"/>
    </row>
    <row r="23" spans="1:19" s="1" customFormat="1" ht="11.25" customHeight="1" x14ac:dyDescent="0.2">
      <c r="A23" s="81">
        <v>100</v>
      </c>
      <c r="B23" s="73"/>
      <c r="C23" s="74"/>
      <c r="D23" s="14"/>
      <c r="E23" s="14"/>
      <c r="F23" s="22"/>
      <c r="G23" s="22"/>
      <c r="H23" s="25" t="s">
        <v>52</v>
      </c>
      <c r="I23" s="27" t="s">
        <v>52</v>
      </c>
      <c r="J23" s="27" t="s">
        <v>52</v>
      </c>
      <c r="K23" s="35" t="s">
        <v>52</v>
      </c>
      <c r="L23" s="32" t="s">
        <v>52</v>
      </c>
      <c r="M23" s="25" t="s">
        <v>52</v>
      </c>
      <c r="N23" s="27" t="s">
        <v>52</v>
      </c>
      <c r="O23" s="27" t="s">
        <v>52</v>
      </c>
      <c r="P23" s="35" t="s">
        <v>52</v>
      </c>
      <c r="Q23" s="32" t="s">
        <v>52</v>
      </c>
      <c r="R23" s="142" t="s">
        <v>52</v>
      </c>
      <c r="S23" s="53"/>
    </row>
    <row r="24" spans="1:19" s="1" customFormat="1" ht="11.25" customHeight="1" x14ac:dyDescent="0.2">
      <c r="A24" s="81">
        <v>100</v>
      </c>
      <c r="B24" s="73"/>
      <c r="C24" s="74"/>
      <c r="D24" s="14"/>
      <c r="E24" s="14"/>
      <c r="F24" s="22"/>
      <c r="G24" s="22"/>
      <c r="H24" s="25" t="s">
        <v>52</v>
      </c>
      <c r="I24" s="27" t="s">
        <v>52</v>
      </c>
      <c r="J24" s="27" t="s">
        <v>52</v>
      </c>
      <c r="K24" s="35" t="s">
        <v>52</v>
      </c>
      <c r="L24" s="32" t="s">
        <v>52</v>
      </c>
      <c r="M24" s="25" t="s">
        <v>52</v>
      </c>
      <c r="N24" s="27" t="s">
        <v>52</v>
      </c>
      <c r="O24" s="27" t="s">
        <v>52</v>
      </c>
      <c r="P24" s="35" t="s">
        <v>52</v>
      </c>
      <c r="Q24" s="32" t="s">
        <v>54</v>
      </c>
      <c r="R24" s="143"/>
      <c r="S24" s="53"/>
    </row>
    <row r="25" spans="1:19" s="1" customFormat="1" ht="11.25" customHeight="1" x14ac:dyDescent="0.2">
      <c r="A25" s="81">
        <v>100</v>
      </c>
      <c r="B25" s="73"/>
      <c r="C25" s="74"/>
      <c r="D25" s="14"/>
      <c r="E25" s="14"/>
      <c r="F25" s="22"/>
      <c r="G25" s="22"/>
      <c r="H25" s="25" t="s">
        <v>52</v>
      </c>
      <c r="I25" s="27" t="s">
        <v>52</v>
      </c>
      <c r="J25" s="27" t="s">
        <v>52</v>
      </c>
      <c r="K25" s="35" t="s">
        <v>52</v>
      </c>
      <c r="L25" s="32" t="s">
        <v>52</v>
      </c>
      <c r="M25" s="25" t="s">
        <v>52</v>
      </c>
      <c r="N25" s="27" t="s">
        <v>52</v>
      </c>
      <c r="O25" s="27" t="s">
        <v>52</v>
      </c>
      <c r="P25" s="35" t="s">
        <v>52</v>
      </c>
      <c r="Q25" s="32" t="s">
        <v>52</v>
      </c>
      <c r="R25" s="143"/>
      <c r="S25" s="53"/>
    </row>
    <row r="26" spans="1:19" s="1" customFormat="1" ht="12" customHeight="1" x14ac:dyDescent="0.2">
      <c r="A26" s="81">
        <v>100</v>
      </c>
      <c r="B26" s="73"/>
      <c r="C26" s="74"/>
      <c r="D26" s="14"/>
      <c r="E26" s="14"/>
      <c r="F26" s="22"/>
      <c r="G26" s="22"/>
      <c r="H26" s="25" t="s">
        <v>52</v>
      </c>
      <c r="I26" s="27" t="s">
        <v>52</v>
      </c>
      <c r="J26" s="27" t="s">
        <v>52</v>
      </c>
      <c r="K26" s="35" t="s">
        <v>52</v>
      </c>
      <c r="L26" s="32" t="s">
        <v>52</v>
      </c>
      <c r="M26" s="25" t="s">
        <v>52</v>
      </c>
      <c r="N26" s="27" t="s">
        <v>52</v>
      </c>
      <c r="O26" s="27" t="s">
        <v>52</v>
      </c>
      <c r="P26" s="35" t="s">
        <v>52</v>
      </c>
      <c r="Q26" s="32" t="s">
        <v>52</v>
      </c>
      <c r="R26" s="148" t="s">
        <v>55</v>
      </c>
      <c r="S26" s="53"/>
    </row>
    <row r="27" spans="1:19" s="1" customFormat="1" ht="12" customHeight="1" x14ac:dyDescent="0.2">
      <c r="A27" s="81">
        <v>100</v>
      </c>
      <c r="B27" s="73"/>
      <c r="C27" s="74"/>
      <c r="D27" s="14"/>
      <c r="E27" s="14"/>
      <c r="F27" s="22"/>
      <c r="G27" s="22"/>
      <c r="H27" s="25" t="s">
        <v>52</v>
      </c>
      <c r="I27" s="27" t="s">
        <v>52</v>
      </c>
      <c r="J27" s="27" t="s">
        <v>52</v>
      </c>
      <c r="K27" s="35" t="s">
        <v>52</v>
      </c>
      <c r="L27" s="32" t="s">
        <v>52</v>
      </c>
      <c r="M27" s="25" t="s">
        <v>52</v>
      </c>
      <c r="N27" s="27" t="s">
        <v>52</v>
      </c>
      <c r="O27" s="27" t="s">
        <v>52</v>
      </c>
      <c r="P27" s="35" t="s">
        <v>52</v>
      </c>
      <c r="Q27" s="32" t="s">
        <v>52</v>
      </c>
      <c r="R27" s="149"/>
      <c r="S27" s="53"/>
    </row>
    <row r="28" spans="1:19" s="1" customFormat="1" ht="12" customHeight="1" x14ac:dyDescent="0.2">
      <c r="A28" s="81">
        <v>100</v>
      </c>
      <c r="B28" s="73"/>
      <c r="C28" s="74"/>
      <c r="D28" s="14"/>
      <c r="E28" s="14"/>
      <c r="F28" s="22"/>
      <c r="G28" s="22"/>
      <c r="H28" s="25" t="s">
        <v>52</v>
      </c>
      <c r="I28" s="27" t="s">
        <v>52</v>
      </c>
      <c r="J28" s="27" t="s">
        <v>52</v>
      </c>
      <c r="K28" s="35" t="s">
        <v>52</v>
      </c>
      <c r="L28" s="32" t="s">
        <v>52</v>
      </c>
      <c r="M28" s="25" t="s">
        <v>52</v>
      </c>
      <c r="N28" s="27" t="s">
        <v>52</v>
      </c>
      <c r="O28" s="27" t="s">
        <v>52</v>
      </c>
      <c r="P28" s="35" t="s">
        <v>52</v>
      </c>
      <c r="Q28" s="32" t="s">
        <v>52</v>
      </c>
      <c r="R28" s="169"/>
      <c r="S28" s="53"/>
    </row>
    <row r="29" spans="1:19" s="1" customFormat="1" ht="12" customHeight="1" thickBot="1" x14ac:dyDescent="0.25">
      <c r="A29" s="81">
        <v>100</v>
      </c>
      <c r="B29" s="73"/>
      <c r="C29" s="74"/>
      <c r="D29" s="82"/>
      <c r="E29" s="15"/>
      <c r="F29" s="23"/>
      <c r="G29" s="23"/>
      <c r="H29" s="25" t="s">
        <v>52</v>
      </c>
      <c r="I29" s="27" t="s">
        <v>52</v>
      </c>
      <c r="J29" s="27" t="s">
        <v>52</v>
      </c>
      <c r="K29" s="35" t="s">
        <v>52</v>
      </c>
      <c r="L29" s="32" t="s">
        <v>52</v>
      </c>
      <c r="M29" s="25" t="s">
        <v>52</v>
      </c>
      <c r="N29" s="29" t="s">
        <v>52</v>
      </c>
      <c r="O29" s="27" t="s">
        <v>52</v>
      </c>
      <c r="P29" s="35" t="s">
        <v>52</v>
      </c>
      <c r="Q29" s="32" t="s">
        <v>52</v>
      </c>
      <c r="R29" s="170"/>
      <c r="S29" s="53"/>
    </row>
    <row r="30" spans="1:19" s="1" customFormat="1" ht="12" customHeight="1" thickBot="1" x14ac:dyDescent="0.25">
      <c r="A30" s="2"/>
      <c r="B30" s="85"/>
      <c r="C30" s="85"/>
      <c r="D30" s="85"/>
      <c r="E30" s="85"/>
      <c r="F30" s="85"/>
      <c r="G30" s="85"/>
      <c r="H30" s="25" t="s">
        <v>52</v>
      </c>
      <c r="I30" s="29" t="s">
        <v>52</v>
      </c>
      <c r="J30" s="27" t="s">
        <v>52</v>
      </c>
      <c r="K30" s="35" t="s">
        <v>52</v>
      </c>
      <c r="L30" s="32" t="s">
        <v>52</v>
      </c>
      <c r="M30" s="25" t="s">
        <v>52</v>
      </c>
      <c r="N30" s="29" t="s">
        <v>52</v>
      </c>
      <c r="O30" s="27" t="s">
        <v>52</v>
      </c>
      <c r="P30" s="35" t="s">
        <v>52</v>
      </c>
      <c r="Q30" s="32" t="s">
        <v>52</v>
      </c>
      <c r="S30" s="53"/>
    </row>
    <row r="31" spans="1:19" s="1" customFormat="1" ht="12" customHeight="1" x14ac:dyDescent="0.2">
      <c r="A31" s="2"/>
      <c r="B31" s="155"/>
      <c r="C31" s="155"/>
      <c r="D31" s="156"/>
      <c r="E31" s="156"/>
      <c r="F31" s="156"/>
      <c r="G31" s="156"/>
      <c r="H31" s="25" t="s">
        <v>52</v>
      </c>
      <c r="I31" s="29" t="s">
        <v>52</v>
      </c>
      <c r="J31" s="27" t="s">
        <v>52</v>
      </c>
      <c r="K31" s="35" t="s">
        <v>52</v>
      </c>
      <c r="L31" s="32" t="s">
        <v>52</v>
      </c>
      <c r="M31" s="25" t="s">
        <v>52</v>
      </c>
      <c r="N31" s="29" t="s">
        <v>52</v>
      </c>
      <c r="O31" s="27" t="s">
        <v>52</v>
      </c>
      <c r="P31" s="35" t="s">
        <v>52</v>
      </c>
      <c r="Q31" s="32" t="s">
        <v>52</v>
      </c>
      <c r="R31" s="150" t="s">
        <v>56</v>
      </c>
      <c r="S31" s="53"/>
    </row>
    <row r="32" spans="1:19" s="1" customFormat="1" ht="12" customHeight="1" x14ac:dyDescent="0.2">
      <c r="A32" s="2"/>
      <c r="B32" s="2"/>
      <c r="C32" s="2"/>
      <c r="D32" s="2"/>
      <c r="E32" s="2"/>
      <c r="F32" s="2"/>
      <c r="G32" s="2"/>
      <c r="H32" s="25" t="s">
        <v>52</v>
      </c>
      <c r="I32" s="29" t="s">
        <v>52</v>
      </c>
      <c r="J32" s="27" t="s">
        <v>52</v>
      </c>
      <c r="K32" s="35" t="s">
        <v>52</v>
      </c>
      <c r="L32" s="32" t="s">
        <v>52</v>
      </c>
      <c r="M32" s="25" t="s">
        <v>52</v>
      </c>
      <c r="N32" s="29" t="s">
        <v>52</v>
      </c>
      <c r="O32" s="27" t="s">
        <v>52</v>
      </c>
      <c r="P32" s="35" t="s">
        <v>52</v>
      </c>
      <c r="Q32" s="32" t="s">
        <v>52</v>
      </c>
      <c r="R32" s="151"/>
      <c r="S32" s="53"/>
    </row>
    <row r="33" spans="1:19" s="1" customFormat="1" ht="12" customHeight="1" x14ac:dyDescent="0.2">
      <c r="A33" s="2"/>
      <c r="B33" s="2"/>
      <c r="C33" s="2"/>
      <c r="D33" s="2"/>
      <c r="E33" s="2"/>
      <c r="F33" s="2"/>
      <c r="G33" s="2"/>
      <c r="H33" s="25" t="s">
        <v>52</v>
      </c>
      <c r="I33" s="29" t="s">
        <v>52</v>
      </c>
      <c r="J33" s="27" t="s">
        <v>52</v>
      </c>
      <c r="K33" s="35" t="s">
        <v>52</v>
      </c>
      <c r="L33" s="32" t="s">
        <v>52</v>
      </c>
      <c r="M33" s="25" t="s">
        <v>52</v>
      </c>
      <c r="N33" s="29" t="s">
        <v>52</v>
      </c>
      <c r="O33" s="27" t="s">
        <v>52</v>
      </c>
      <c r="P33" s="35" t="s">
        <v>52</v>
      </c>
      <c r="Q33" s="32" t="s">
        <v>52</v>
      </c>
      <c r="R33" s="164"/>
      <c r="S33" s="53"/>
    </row>
    <row r="34" spans="1:19" s="1" customFormat="1" ht="12" customHeight="1" thickBot="1" x14ac:dyDescent="0.25">
      <c r="A34" s="2"/>
      <c r="B34" s="2"/>
      <c r="C34" s="2"/>
      <c r="D34" s="2"/>
      <c r="E34" s="2"/>
      <c r="F34" s="2"/>
      <c r="G34" s="2"/>
      <c r="H34" s="25" t="s">
        <v>52</v>
      </c>
      <c r="I34" s="29" t="s">
        <v>52</v>
      </c>
      <c r="J34" s="27" t="s">
        <v>52</v>
      </c>
      <c r="K34" s="35" t="s">
        <v>52</v>
      </c>
      <c r="L34" s="32" t="s">
        <v>52</v>
      </c>
      <c r="M34" s="25" t="s">
        <v>52</v>
      </c>
      <c r="N34" s="29" t="s">
        <v>52</v>
      </c>
      <c r="O34" s="27" t="s">
        <v>52</v>
      </c>
      <c r="P34" s="35" t="s">
        <v>52</v>
      </c>
      <c r="Q34" s="32" t="s">
        <v>52</v>
      </c>
      <c r="R34" s="165"/>
      <c r="S34" s="53"/>
    </row>
    <row r="35" spans="1:19" s="1" customFormat="1" ht="12" customHeight="1" x14ac:dyDescent="0.2">
      <c r="A35" s="2"/>
      <c r="B35" s="2"/>
      <c r="C35" s="2"/>
      <c r="D35" s="2"/>
      <c r="E35" s="2"/>
      <c r="F35" s="2"/>
      <c r="G35" s="2"/>
      <c r="H35" s="25" t="s">
        <v>52</v>
      </c>
      <c r="I35" s="29" t="s">
        <v>52</v>
      </c>
      <c r="J35" s="27" t="s">
        <v>52</v>
      </c>
      <c r="K35" s="35" t="s">
        <v>52</v>
      </c>
      <c r="L35" s="32" t="s">
        <v>52</v>
      </c>
      <c r="M35" s="25" t="s">
        <v>52</v>
      </c>
      <c r="N35" s="29" t="s">
        <v>52</v>
      </c>
      <c r="O35" s="27" t="s">
        <v>52</v>
      </c>
      <c r="P35" s="35" t="s">
        <v>52</v>
      </c>
      <c r="Q35" s="32" t="s">
        <v>52</v>
      </c>
      <c r="R35" s="150" t="s">
        <v>57</v>
      </c>
      <c r="S35" s="53"/>
    </row>
    <row r="36" spans="1:19" s="1" customFormat="1" ht="12" customHeight="1" x14ac:dyDescent="0.2">
      <c r="A36" s="2"/>
      <c r="B36" s="2"/>
      <c r="C36" s="2"/>
      <c r="D36" s="2"/>
      <c r="E36" s="2"/>
      <c r="F36" s="2"/>
      <c r="G36" s="2"/>
      <c r="H36" s="25" t="s">
        <v>52</v>
      </c>
      <c r="I36" s="29" t="s">
        <v>52</v>
      </c>
      <c r="J36" s="27" t="s">
        <v>52</v>
      </c>
      <c r="K36" s="35" t="s">
        <v>52</v>
      </c>
      <c r="L36" s="32" t="s">
        <v>52</v>
      </c>
      <c r="M36" s="25" t="s">
        <v>52</v>
      </c>
      <c r="N36" s="29" t="s">
        <v>52</v>
      </c>
      <c r="O36" s="27" t="s">
        <v>52</v>
      </c>
      <c r="P36" s="35" t="s">
        <v>52</v>
      </c>
      <c r="Q36" s="32" t="s">
        <v>52</v>
      </c>
      <c r="R36" s="151"/>
      <c r="S36" s="2"/>
    </row>
    <row r="37" spans="1:19" s="1" customFormat="1" ht="12" customHeight="1" x14ac:dyDescent="0.2">
      <c r="A37" s="2"/>
      <c r="B37" s="2"/>
      <c r="C37" s="2"/>
      <c r="D37" s="2"/>
      <c r="E37" s="2"/>
      <c r="F37" s="2"/>
      <c r="G37" s="2"/>
      <c r="H37" s="25" t="s">
        <v>52</v>
      </c>
      <c r="I37" s="29" t="s">
        <v>52</v>
      </c>
      <c r="J37" s="27" t="s">
        <v>52</v>
      </c>
      <c r="K37" s="35" t="s">
        <v>52</v>
      </c>
      <c r="L37" s="32" t="s">
        <v>52</v>
      </c>
      <c r="M37" s="25" t="s">
        <v>52</v>
      </c>
      <c r="N37" s="29" t="s">
        <v>52</v>
      </c>
      <c r="O37" s="27" t="s">
        <v>52</v>
      </c>
      <c r="P37" s="35" t="s">
        <v>52</v>
      </c>
      <c r="Q37" s="32" t="s">
        <v>52</v>
      </c>
      <c r="R37" s="161"/>
      <c r="S37" s="2"/>
    </row>
    <row r="38" spans="1:19" s="1" customFormat="1" ht="12" customHeight="1" thickBot="1" x14ac:dyDescent="0.25">
      <c r="A38" s="2"/>
      <c r="B38" s="2"/>
      <c r="C38" s="2"/>
      <c r="D38" s="2"/>
      <c r="E38" s="2"/>
      <c r="F38" s="2"/>
      <c r="G38" s="2"/>
      <c r="H38" s="25" t="s">
        <v>52</v>
      </c>
      <c r="I38" s="29" t="s">
        <v>52</v>
      </c>
      <c r="J38" s="27" t="s">
        <v>52</v>
      </c>
      <c r="K38" s="35" t="s">
        <v>52</v>
      </c>
      <c r="L38" s="32" t="s">
        <v>52</v>
      </c>
      <c r="M38" s="25" t="s">
        <v>52</v>
      </c>
      <c r="N38" s="29" t="s">
        <v>52</v>
      </c>
      <c r="O38" s="27" t="s">
        <v>52</v>
      </c>
      <c r="P38" s="35" t="s">
        <v>52</v>
      </c>
      <c r="Q38" s="32" t="s">
        <v>52</v>
      </c>
      <c r="R38" s="162"/>
      <c r="S38" s="2"/>
    </row>
    <row r="39" spans="1:19" s="1" customFormat="1" ht="12" customHeight="1" thickBot="1" x14ac:dyDescent="0.25">
      <c r="A39" s="2"/>
      <c r="B39" s="2"/>
      <c r="C39" s="2"/>
      <c r="D39" s="2"/>
      <c r="E39" s="2"/>
      <c r="F39" s="2"/>
      <c r="G39" s="2"/>
      <c r="H39" s="26" t="s">
        <v>52</v>
      </c>
      <c r="I39" s="30" t="s">
        <v>52</v>
      </c>
      <c r="J39" s="28" t="s">
        <v>52</v>
      </c>
      <c r="K39" s="36" t="s">
        <v>52</v>
      </c>
      <c r="L39" s="33" t="s">
        <v>52</v>
      </c>
      <c r="M39" s="26" t="s">
        <v>52</v>
      </c>
      <c r="N39" s="30" t="s">
        <v>52</v>
      </c>
      <c r="O39" s="28" t="s">
        <v>52</v>
      </c>
      <c r="P39" s="36" t="s">
        <v>52</v>
      </c>
      <c r="Q39" s="33" t="s">
        <v>52</v>
      </c>
      <c r="R39" s="72"/>
      <c r="S39" s="2"/>
    </row>
    <row r="40" spans="1:19" s="1" customFormat="1" ht="12" customHeight="1" x14ac:dyDescent="0.2">
      <c r="A40" s="2"/>
      <c r="B40" s="2"/>
      <c r="C40" s="2"/>
      <c r="D40" s="2"/>
      <c r="E40" s="2"/>
      <c r="F40" s="2"/>
      <c r="G40" s="2"/>
      <c r="H40" s="98" t="s">
        <v>58</v>
      </c>
      <c r="I40" s="99"/>
      <c r="J40" s="16"/>
      <c r="K40" s="17" t="s">
        <v>59</v>
      </c>
      <c r="L40" s="16"/>
      <c r="M40" s="18"/>
      <c r="N40" s="17" t="s">
        <v>60</v>
      </c>
      <c r="O40" s="18"/>
      <c r="P40" s="16"/>
      <c r="Q40" s="163" t="s">
        <v>61</v>
      </c>
      <c r="R40" s="163"/>
      <c r="S40" s="2"/>
    </row>
    <row r="41" spans="1:19" s="1" customFormat="1" ht="15" customHeight="1" x14ac:dyDescent="0.2">
      <c r="A41" s="2"/>
      <c r="B41" s="2"/>
      <c r="C41" s="2"/>
      <c r="D41" s="2"/>
      <c r="E41" s="2"/>
      <c r="F41" s="2"/>
      <c r="G41" s="2"/>
      <c r="H41" s="98" t="s">
        <v>62</v>
      </c>
      <c r="I41" s="99"/>
      <c r="J41" s="79"/>
      <c r="K41" s="100" t="s">
        <v>63</v>
      </c>
      <c r="L41" s="146"/>
      <c r="M41" s="18"/>
      <c r="N41" s="17" t="s">
        <v>64</v>
      </c>
      <c r="O41" s="18"/>
      <c r="P41" s="60"/>
      <c r="Q41" s="153" t="s">
        <v>52</v>
      </c>
      <c r="R41" s="153"/>
      <c r="S41" s="2"/>
    </row>
    <row r="42" spans="1:19" s="1" customFormat="1" ht="17.25" customHeight="1" thickBot="1" x14ac:dyDescent="0.25">
      <c r="A42" s="2"/>
      <c r="B42" s="2"/>
      <c r="C42" s="2"/>
      <c r="D42" s="2"/>
      <c r="E42" s="2"/>
      <c r="F42" s="2"/>
      <c r="G42" s="2"/>
      <c r="H42" s="98" t="s">
        <v>65</v>
      </c>
      <c r="I42" s="99"/>
      <c r="J42" s="19"/>
      <c r="K42" s="100"/>
      <c r="L42" s="147"/>
      <c r="M42" s="18"/>
      <c r="N42" s="17" t="s">
        <v>66</v>
      </c>
      <c r="O42" s="18"/>
      <c r="P42" s="16"/>
      <c r="Q42" s="154"/>
      <c r="R42" s="154"/>
      <c r="S42" s="2"/>
    </row>
    <row r="43" spans="1:19" s="1" customFormat="1" ht="15" customHeight="1" thickBot="1" x14ac:dyDescent="0.25">
      <c r="A43" s="2"/>
      <c r="B43" s="2"/>
      <c r="C43" s="2"/>
      <c r="D43" s="2"/>
      <c r="E43" s="2"/>
      <c r="F43" s="2"/>
      <c r="G43" s="2"/>
      <c r="H43" s="171" t="str">
        <f>IF(COUNT(H20:H39,M20:M39)&lt;5,"ANÁLISE DETERMINÍSTICA","ANÁLISE ESTATÍSTICA")</f>
        <v>ANÁLISE DETERMINÍSTICA</v>
      </c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2"/>
    </row>
    <row r="44" spans="1:19" s="1" customFormat="1" ht="14.1" customHeight="1" x14ac:dyDescent="0.2">
      <c r="A44" s="2"/>
      <c r="B44" s="2"/>
      <c r="C44" s="2"/>
      <c r="D44" s="2"/>
      <c r="E44" s="2"/>
      <c r="F44" s="2"/>
      <c r="G44" s="2"/>
      <c r="H44" s="166" t="s">
        <v>67</v>
      </c>
      <c r="I44" s="155"/>
      <c r="J44" s="73"/>
      <c r="K44" s="20" t="s">
        <v>68</v>
      </c>
      <c r="L44" s="24" t="s">
        <v>52</v>
      </c>
      <c r="M44" s="20" t="s">
        <v>69</v>
      </c>
      <c r="N44" s="54">
        <v>0</v>
      </c>
      <c r="O44" s="68" t="s">
        <v>83</v>
      </c>
      <c r="P44" s="37" t="s">
        <v>52</v>
      </c>
      <c r="Q44" s="152" t="s">
        <v>70</v>
      </c>
      <c r="R44" s="152"/>
      <c r="S44" s="2"/>
    </row>
    <row r="45" spans="1:19" s="1" customFormat="1" ht="14.1" customHeight="1" thickBot="1" x14ac:dyDescent="0.25">
      <c r="A45" s="2"/>
      <c r="B45" s="2"/>
      <c r="C45" s="2"/>
      <c r="D45" s="2"/>
      <c r="E45" s="2"/>
      <c r="F45" s="2"/>
      <c r="G45" s="2"/>
      <c r="H45" s="166" t="s">
        <v>71</v>
      </c>
      <c r="I45" s="155"/>
      <c r="J45" s="21" t="s">
        <v>52</v>
      </c>
      <c r="K45" s="48" t="s">
        <v>72</v>
      </c>
      <c r="L45" s="22" t="s">
        <v>52</v>
      </c>
      <c r="M45" s="20" t="s">
        <v>73</v>
      </c>
      <c r="N45" s="54">
        <v>0</v>
      </c>
      <c r="P45" s="2"/>
      <c r="Q45" s="156" t="s">
        <v>52</v>
      </c>
      <c r="R45" s="156"/>
      <c r="S45" s="2"/>
    </row>
    <row r="46" spans="1:19" s="1" customFormat="1" ht="13.5" customHeight="1" x14ac:dyDescent="0.2">
      <c r="A46" s="2"/>
      <c r="B46" s="157" t="s">
        <v>74</v>
      </c>
      <c r="C46" s="15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2"/>
    </row>
    <row r="47" spans="1:19" s="1" customFormat="1" ht="12.75" customHeight="1" thickBot="1" x14ac:dyDescent="0.25">
      <c r="A47" s="2"/>
      <c r="B47" s="158"/>
      <c r="C47" s="15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2"/>
    </row>
    <row r="48" spans="1:19" s="1" customFormat="1" ht="12.75" customHeight="1" x14ac:dyDescent="0.2">
      <c r="A48" s="2"/>
      <c r="B48" s="101" t="s">
        <v>75</v>
      </c>
      <c r="C48" s="101"/>
      <c r="D48" s="135"/>
      <c r="E48" s="135"/>
      <c r="F48" s="135"/>
      <c r="G48" s="135"/>
      <c r="H48" s="135"/>
      <c r="I48" s="135"/>
      <c r="J48" s="135"/>
      <c r="K48" s="135"/>
      <c r="L48" s="57"/>
      <c r="M48" s="145"/>
      <c r="N48" s="145"/>
      <c r="O48" s="145"/>
      <c r="P48" s="57"/>
      <c r="Q48" s="57"/>
      <c r="R48" s="57"/>
      <c r="S48" s="2"/>
    </row>
    <row r="49" spans="1:19" s="1" customFormat="1" ht="15" customHeight="1" x14ac:dyDescent="0.2">
      <c r="A49" s="2"/>
      <c r="B49" s="144" t="s">
        <v>76</v>
      </c>
      <c r="C49" s="144"/>
      <c r="D49" s="144"/>
      <c r="E49" s="56"/>
      <c r="F49" s="136" t="s">
        <v>77</v>
      </c>
      <c r="G49" s="137"/>
      <c r="H49" s="137"/>
      <c r="I49" s="138"/>
      <c r="J49" s="138"/>
      <c r="K49" s="138"/>
      <c r="L49" s="139"/>
      <c r="M49" s="97" t="s">
        <v>78</v>
      </c>
      <c r="N49" s="97"/>
      <c r="O49" s="97"/>
      <c r="S49" s="2"/>
    </row>
    <row r="50" spans="1:19" s="1" customFormat="1" ht="15" customHeight="1" x14ac:dyDescent="0.2">
      <c r="A50" s="2"/>
      <c r="B50" s="18" t="s">
        <v>79</v>
      </c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97" t="s">
        <v>80</v>
      </c>
      <c r="N50" s="97"/>
      <c r="O50" s="97"/>
      <c r="S50" s="2"/>
    </row>
    <row r="51" spans="1:19" s="1" customFormat="1" ht="12" customHeight="1" thickBot="1" x14ac:dyDescent="0.25">
      <c r="A51" s="2"/>
      <c r="B51" s="43" t="s">
        <v>81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83" t="s">
        <v>82</v>
      </c>
      <c r="N51" s="83"/>
      <c r="O51" s="83"/>
      <c r="P51" s="58"/>
      <c r="Q51" s="58"/>
      <c r="R51" s="58"/>
      <c r="S51" s="2"/>
    </row>
  </sheetData>
  <mergeCells count="88">
    <mergeCell ref="H42:I42"/>
    <mergeCell ref="B46:C47"/>
    <mergeCell ref="R21:R22"/>
    <mergeCell ref="R37:R38"/>
    <mergeCell ref="R35:R36"/>
    <mergeCell ref="Q45:R45"/>
    <mergeCell ref="Q40:R40"/>
    <mergeCell ref="R33:R34"/>
    <mergeCell ref="F31:G31"/>
    <mergeCell ref="H44:I44"/>
    <mergeCell ref="H45:I45"/>
    <mergeCell ref="D46:R47"/>
    <mergeCell ref="R28:R29"/>
    <mergeCell ref="H43:R43"/>
    <mergeCell ref="D48:K48"/>
    <mergeCell ref="F49:H49"/>
    <mergeCell ref="I49:L49"/>
    <mergeCell ref="R19:R20"/>
    <mergeCell ref="R23:R25"/>
    <mergeCell ref="B49:D49"/>
    <mergeCell ref="M48:O48"/>
    <mergeCell ref="L41:L42"/>
    <mergeCell ref="R26:R27"/>
    <mergeCell ref="R31:R32"/>
    <mergeCell ref="Q44:R44"/>
    <mergeCell ref="Q41:R42"/>
    <mergeCell ref="F30:G30"/>
    <mergeCell ref="B31:C31"/>
    <mergeCell ref="D31:E31"/>
    <mergeCell ref="M49:O49"/>
    <mergeCell ref="M3:R3"/>
    <mergeCell ref="B12:R12"/>
    <mergeCell ref="D11:F11"/>
    <mergeCell ref="G10:I10"/>
    <mergeCell ref="G11:I11"/>
    <mergeCell ref="J10:L10"/>
    <mergeCell ref="J11:L11"/>
    <mergeCell ref="M6:R6"/>
    <mergeCell ref="B10:C10"/>
    <mergeCell ref="B11:C11"/>
    <mergeCell ref="D10:F10"/>
    <mergeCell ref="Q11:R11"/>
    <mergeCell ref="M7:R7"/>
    <mergeCell ref="B15:C15"/>
    <mergeCell ref="D15:I15"/>
    <mergeCell ref="M4:R4"/>
    <mergeCell ref="J15:K15"/>
    <mergeCell ref="D16:N16"/>
    <mergeCell ref="L15:M15"/>
    <mergeCell ref="O15:P15"/>
    <mergeCell ref="Q15:R15"/>
    <mergeCell ref="Q14:R14"/>
    <mergeCell ref="O14:P14"/>
    <mergeCell ref="L14:M14"/>
    <mergeCell ref="H14:K14"/>
    <mergeCell ref="C14:F14"/>
    <mergeCell ref="B1:R1"/>
    <mergeCell ref="J13:K13"/>
    <mergeCell ref="O13:P13"/>
    <mergeCell ref="C13:D13"/>
    <mergeCell ref="E13:F13"/>
    <mergeCell ref="G13:H13"/>
    <mergeCell ref="M10:N10"/>
    <mergeCell ref="M11:N11"/>
    <mergeCell ref="Q10:R10"/>
    <mergeCell ref="M2:R2"/>
    <mergeCell ref="M8:R8"/>
    <mergeCell ref="M5:R5"/>
    <mergeCell ref="L2:L8"/>
    <mergeCell ref="B9:R9"/>
    <mergeCell ref="K3:K4"/>
    <mergeCell ref="Q13:R13"/>
    <mergeCell ref="M51:O51"/>
    <mergeCell ref="B17:R17"/>
    <mergeCell ref="B30:C30"/>
    <mergeCell ref="D30:E30"/>
    <mergeCell ref="O16:P16"/>
    <mergeCell ref="B18:C18"/>
    <mergeCell ref="D18:D19"/>
    <mergeCell ref="B16:C16"/>
    <mergeCell ref="H18:Q18"/>
    <mergeCell ref="E18:E19"/>
    <mergeCell ref="F18:G18"/>
    <mergeCell ref="M50:O50"/>
    <mergeCell ref="H40:I40"/>
    <mergeCell ref="H41:I41"/>
    <mergeCell ref="K41:K42"/>
    <mergeCell ref="B48:C48"/>
  </mergeCells>
  <phoneticPr fontId="23" type="noConversion"/>
  <conditionalFormatting sqref="D20:D29">
    <cfRule type="cellIs" dxfId="30" priority="83" operator="lessThan">
      <formula>F20</formula>
    </cfRule>
    <cfRule type="cellIs" dxfId="29" priority="84" operator="greaterThan">
      <formula>G20</formula>
    </cfRule>
  </conditionalFormatting>
  <conditionalFormatting sqref="J42">
    <cfRule type="cellIs" dxfId="28" priority="65" operator="lessThan">
      <formula>80</formula>
    </cfRule>
  </conditionalFormatting>
  <conditionalFormatting sqref="P45:Q45">
    <cfRule type="cellIs" dxfId="27" priority="64" operator="equal">
      <formula>"Reprovado"</formula>
    </cfRule>
  </conditionalFormatting>
  <conditionalFormatting sqref="P42">
    <cfRule type="cellIs" dxfId="26" priority="55" operator="lessThan">
      <formula>0.55</formula>
    </cfRule>
    <cfRule type="cellIs" dxfId="25" priority="56" operator="greaterThan">
      <formula>1.2</formula>
    </cfRule>
  </conditionalFormatting>
  <conditionalFormatting sqref="L40">
    <cfRule type="cellIs" dxfId="24" priority="54" operator="greaterThan">
      <formula>#REF!</formula>
    </cfRule>
  </conditionalFormatting>
  <conditionalFormatting sqref="L20:L39">
    <cfRule type="cellIs" dxfId="23" priority="52" operator="between">
      <formula>2.51</formula>
      <formula>7.49</formula>
    </cfRule>
  </conditionalFormatting>
  <conditionalFormatting sqref="D46">
    <cfRule type="cellIs" dxfId="22" priority="36" operator="equal">
      <formula>"SEGMENTO APROVADO"</formula>
    </cfRule>
    <cfRule type="cellIs" dxfId="21" priority="37" operator="equal">
      <formula>"REPROVADO - Teor de ligante elevado "</formula>
    </cfRule>
    <cfRule type="cellIs" dxfId="20" priority="38" operator="equal">
      <formula>"REPROVADO - Teor de ligante baixo "</formula>
    </cfRule>
    <cfRule type="cellIs" dxfId="19" priority="39" operator="equal">
      <formula>"REPROVADO - Granulometria fora do especificado em projeto "</formula>
    </cfRule>
    <cfRule type="cellIs" dxfId="18" priority="40" operator="equal">
      <formula>"REPROVADO - Volume de Vazios fora da especificação "</formula>
    </cfRule>
  </conditionalFormatting>
  <conditionalFormatting sqref="D46">
    <cfRule type="cellIs" dxfId="17" priority="6" operator="equal">
      <formula>"Aprovado sem restrição"</formula>
    </cfRule>
    <cfRule type="cellIs" dxfId="16" priority="33" operator="equal">
      <formula>"PROJETO FORA DO PRAZO DE VALIDADE"</formula>
    </cfRule>
    <cfRule type="cellIs" dxfId="15" priority="34" operator="equal">
      <formula>"Reprovado por DUI"</formula>
    </cfRule>
    <cfRule type="cellIs" dxfId="14" priority="35" operator="equal">
      <formula>"REPROVADO - IRI elevado "</formula>
    </cfRule>
  </conditionalFormatting>
  <conditionalFormatting sqref="K20:K39">
    <cfRule type="cellIs" dxfId="13" priority="27" operator="between">
      <formula>2.51</formula>
      <formula>7.49</formula>
    </cfRule>
  </conditionalFormatting>
  <conditionalFormatting sqref="B31:C31">
    <cfRule type="cellIs" dxfId="12" priority="90" operator="lessThan">
      <formula>#REF!-0.2</formula>
    </cfRule>
    <cfRule type="cellIs" dxfId="11" priority="91" operator="greaterThan">
      <formula>#REF!+0.2</formula>
    </cfRule>
  </conditionalFormatting>
  <conditionalFormatting sqref="J40">
    <cfRule type="cellIs" dxfId="10" priority="92" operator="lessThan">
      <formula>$B$11-0.25</formula>
    </cfRule>
    <cfRule type="cellIs" dxfId="9" priority="93" operator="greaterThan">
      <formula>$B$11+0.249999</formula>
    </cfRule>
  </conditionalFormatting>
  <conditionalFormatting sqref="R31">
    <cfRule type="cellIs" dxfId="8" priority="19" operator="notEqual">
      <formula>""</formula>
    </cfRule>
    <cfRule type="cellIs" dxfId="7" priority="20" operator="equal">
      <formula>""</formula>
    </cfRule>
  </conditionalFormatting>
  <conditionalFormatting sqref="R35">
    <cfRule type="cellIs" dxfId="6" priority="17" operator="notEqual">
      <formula>""</formula>
    </cfRule>
    <cfRule type="cellIs" dxfId="5" priority="18" operator="equal">
      <formula>""</formula>
    </cfRule>
  </conditionalFormatting>
  <conditionalFormatting sqref="Q20:Q39">
    <cfRule type="cellIs" dxfId="4" priority="16" operator="between">
      <formula>2.51</formula>
      <formula>7.49</formula>
    </cfRule>
  </conditionalFormatting>
  <conditionalFormatting sqref="P20:P39">
    <cfRule type="cellIs" dxfId="3" priority="15" operator="between">
      <formula>2.51</formula>
      <formula>7.49</formula>
    </cfRule>
  </conditionalFormatting>
  <conditionalFormatting sqref="I49:L49">
    <cfRule type="cellIs" dxfId="2" priority="13" operator="equal">
      <formula>"Reprovado"</formula>
    </cfRule>
    <cfRule type="cellIs" dxfId="1" priority="14" operator="equal">
      <formula>"Aprovado"</formula>
    </cfRule>
  </conditionalFormatting>
  <conditionalFormatting sqref="K3:K4">
    <cfRule type="cellIs" dxfId="0" priority="7" operator="equal">
      <formula>"Sim"</formula>
    </cfRule>
  </conditionalFormatting>
  <dataValidations count="1">
    <dataValidation type="list" allowBlank="1" showInputMessage="1" showErrorMessage="1" sqref="I49:L49" xr:uid="{00000000-0002-0000-0200-000001000000}">
      <formula1>"Aprovado,Reprovado,Pendencias,***"</formula1>
    </dataValidation>
  </dataValidations>
  <printOptions horizontalCentered="1" verticalCentered="1"/>
  <pageMargins left="0.23622047244094491" right="0.23622047244094491" top="0.19685039370078741" bottom="0.35433070866141736" header="0.31496062992125984" footer="0.31496062992125984"/>
  <pageSetup paperSize="9" scale="78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 xmlns="65617e65-7207-4f9f-9095-3c11b51b76db">2021-12-08T18:47:46+00:00</Data>
    <Plataforma xmlns="65617e65-7207-4f9f-9095-3c11b51b76db" xsi:nil="true"/>
    <Linkdogitlab xmlns="65617e65-7207-4f9f-9095-3c11b51b76db">
      <Url xsi:nil="true"/>
      <Description xsi:nil="true"/>
    </Linkdogitlab>
    <Vers_x00e3_odaplataforma xmlns="65617e65-7207-4f9f-9095-3c11b51b76db" xsi:nil="true"/>
    <Segmento xmlns="65617e65-7207-4f9f-9095-3c11b51b76db" xsi:nil="true"/>
    <Descri_x00e7__x00e3_odafeature xmlns="65617e65-7207-4f9f-9095-3c11b51b76db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5CE816E407EF48BAD81FCD200C5EAF" ma:contentTypeVersion="22" ma:contentTypeDescription="Create a new document." ma:contentTypeScope="" ma:versionID="cbeb9d7ab4776e76348b407220386ecd">
  <xsd:schema xmlns:xsd="http://www.w3.org/2001/XMLSchema" xmlns:xs="http://www.w3.org/2001/XMLSchema" xmlns:p="http://schemas.microsoft.com/office/2006/metadata/properties" xmlns:ns2="65617e65-7207-4f9f-9095-3c11b51b76db" xmlns:ns3="ef031541-7836-4157-9599-8b78b2612180" targetNamespace="http://schemas.microsoft.com/office/2006/metadata/properties" ma:root="true" ma:fieldsID="8da15b0bda98bbc200d603375eb95d66" ns2:_="" ns3:_="">
    <xsd:import namespace="65617e65-7207-4f9f-9095-3c11b51b76db"/>
    <xsd:import namespace="ef031541-7836-4157-9599-8b78b26121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  <xsd:element ref="ns2:Linkdogitlab" minOccurs="0"/>
                <xsd:element ref="ns2:Descri_x00e7__x00e3_odafeature" minOccurs="0"/>
                <xsd:element ref="ns2:Data" minOccurs="0"/>
                <xsd:element ref="ns2:Vers_x00e3_odaplataforma" minOccurs="0"/>
                <xsd:element ref="ns2:Plataforma" minOccurs="0"/>
                <xsd:element ref="ns2:Segmento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617e65-7207-4f9f-9095-3c11b51b76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Linkdogitlab" ma:index="20" nillable="true" ma:displayName="Link do gitlab" ma:format="Hyperlink" ma:internalName="Linkdogitlab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_x00e7__x00e3_odafeature" ma:index="21" nillable="true" ma:displayName="Descrição da feature" ma:description="Campo para colocar uma breve descrição da feature sendo mostrada." ma:format="Dropdown" ma:internalName="Descri_x00e7__x00e3_odafeature">
      <xsd:simpleType>
        <xsd:restriction base="dms:Note">
          <xsd:maxLength value="255"/>
        </xsd:restriction>
      </xsd:simpleType>
    </xsd:element>
    <xsd:element name="Data" ma:index="22" nillable="true" ma:displayName="Data" ma:default="[today]" ma:description="Data em que a feature foi lançada em produção." ma:format="DateOnly" ma:internalName="Data">
      <xsd:simpleType>
        <xsd:restriction base="dms:DateTime"/>
      </xsd:simpleType>
    </xsd:element>
    <xsd:element name="Vers_x00e3_odaplataforma" ma:index="23" nillable="true" ma:displayName="Versão da plataforma" ma:description="Versão da plataforma que contém essa alteração em produção." ma:format="Dropdown" ma:internalName="Vers_x00e3_odaplataforma">
      <xsd:simpleType>
        <xsd:restriction base="dms:Text">
          <xsd:maxLength value="255"/>
        </xsd:restriction>
      </xsd:simpleType>
    </xsd:element>
    <xsd:element name="Plataforma" ma:index="24" nillable="true" ma:displayName="Plataforma" ma:format="Dropdown" ma:internalName="Plataforma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Front"/>
                    <xsd:enumeration value="Back"/>
                    <xsd:enumeration value="App Hidros"/>
                    <xsd:enumeration value="App Rodovias"/>
                    <xsd:enumeration value="App PAEB Coleta"/>
                    <xsd:enumeration value="App PAEB Rotas"/>
                  </xsd:restriction>
                </xsd:simpleType>
              </xsd:element>
            </xsd:sequence>
          </xsd:extension>
        </xsd:complexContent>
      </xsd:complexType>
    </xsd:element>
    <xsd:element name="Segmento" ma:index="25" nillable="true" ma:displayName="Segmento" ma:format="Dropdown" ma:internalName="Segmento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nergia"/>
                    <xsd:enumeration value="Rodovias"/>
                    <xsd:enumeration value="PAEB"/>
                  </xsd:restriction>
                </xsd:simpleType>
              </xsd:element>
            </xsd:sequence>
          </xsd:extension>
        </xsd:complexContent>
      </xsd:complexType>
    </xsd:element>
    <xsd:element name="MediaLengthInSeconds" ma:index="26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031541-7836-4157-9599-8b78b261218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8AF389-9B90-495C-8B3D-5F25482843CD}">
  <ds:schemaRefs>
    <ds:schemaRef ds:uri="http://schemas.microsoft.com/office/2006/metadata/properties"/>
    <ds:schemaRef ds:uri="http://schemas.microsoft.com/office/infopath/2007/PartnerControls"/>
    <ds:schemaRef ds:uri="65617e65-7207-4f9f-9095-3c11b51b76db"/>
  </ds:schemaRefs>
</ds:datastoreItem>
</file>

<file path=customXml/itemProps2.xml><?xml version="1.0" encoding="utf-8"?>
<ds:datastoreItem xmlns:ds="http://schemas.openxmlformats.org/officeDocument/2006/customXml" ds:itemID="{1B6AF3C7-17CC-452E-9785-51FFB52FB9F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DEFF03-715B-470A-A7FE-CBF9D597B0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617e65-7207-4f9f-9095-3c11b51b76db"/>
    <ds:schemaRef ds:uri="ef031541-7836-4157-9599-8b78b26121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ENSAIO</vt:lpstr>
      <vt:lpstr>ENSAIO!Area_de_impressao</vt:lpstr>
    </vt:vector>
  </TitlesOfParts>
  <Manager>Manoel</Manager>
  <Company>Latina -CDT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Diogo Bento;nyelthon.refatti@arteris.com.br</dc:creator>
  <cp:keywords/>
  <dc:description/>
  <cp:lastModifiedBy>Breno Hack</cp:lastModifiedBy>
  <cp:revision>5</cp:revision>
  <dcterms:created xsi:type="dcterms:W3CDTF">2010-03-02T12:27:29Z</dcterms:created>
  <dcterms:modified xsi:type="dcterms:W3CDTF">2022-01-12T18:12:13Z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0x010100B65CE816E407EF48BAD81FCD200C5EAF</vt:lpwstr>
  </property>
</Properties>
</file>